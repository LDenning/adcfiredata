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emsm2s2\mydocs$\gkelch\My Documents\NCHS Mortality Data\2016 NCHS\2016 AP Edits\"/>
    </mc:Choice>
  </mc:AlternateContent>
  <bookViews>
    <workbookView xWindow="240" yWindow="75" windowWidth="20115" windowHeight="7995"/>
  </bookViews>
  <sheets>
    <sheet name="Index of Worksheets" sheetId="23" r:id="rId1"/>
    <sheet name="Deaths by Age 2016" sheetId="9" r:id="rId2"/>
    <sheet name="Deaths by Age+Gender 2016" sheetId="8" r:id="rId3"/>
    <sheet name="Deaths by Race+Gender 2016" sheetId="10" r:id="rId4"/>
    <sheet name="State Deaths, Rate, Risk 2016" sheetId="11" r:id="rId5"/>
    <sheet name="Ntl State Death Rate 2000-2016" sheetId="20" r:id="rId6"/>
    <sheet name="Death, Rate, Risk Child '07-'16" sheetId="21" r:id="rId7"/>
    <sheet name="Death, Rate, Risk Older '07-'16" sheetId="22" r:id="rId8"/>
    <sheet name="Injuries by Age 2016" sheetId="13" r:id="rId9"/>
    <sheet name="Injuries by Age+Gender 2016" sheetId="12" r:id="rId10"/>
  </sheets>
  <calcPr calcId="152511"/>
</workbook>
</file>

<file path=xl/calcChain.xml><?xml version="1.0" encoding="utf-8"?>
<calcChain xmlns="http://schemas.openxmlformats.org/spreadsheetml/2006/main">
  <c r="C8" i="10" l="1"/>
  <c r="B8" i="10"/>
  <c r="D7" i="10"/>
  <c r="D6" i="10"/>
  <c r="D5" i="10"/>
  <c r="D4" i="10"/>
  <c r="D8" i="10" l="1"/>
  <c r="C27" i="8"/>
  <c r="B27" i="8"/>
  <c r="B22" i="13" l="1"/>
  <c r="C28" i="12"/>
  <c r="B28" i="12"/>
  <c r="B22" i="9" l="1"/>
</calcChain>
</file>

<file path=xl/sharedStrings.xml><?xml version="1.0" encoding="utf-8"?>
<sst xmlns="http://schemas.openxmlformats.org/spreadsheetml/2006/main" count="571" uniqueCount="250">
  <si>
    <t>Year</t>
  </si>
  <si>
    <t>Deaths</t>
  </si>
  <si>
    <t>Injuries</t>
  </si>
  <si>
    <t>10-year trend (%)</t>
  </si>
  <si>
    <t>Total</t>
  </si>
  <si>
    <t>Casualty Type</t>
  </si>
  <si>
    <t>Females (Percent)</t>
  </si>
  <si>
    <t xml:space="preserve">Males (Percent) </t>
  </si>
  <si>
    <t>15-19</t>
  </si>
  <si>
    <t>20-24</t>
  </si>
  <si>
    <t>25-29</t>
  </si>
  <si>
    <t>30-34</t>
  </si>
  <si>
    <t>35-39</t>
  </si>
  <si>
    <t>40-44</t>
  </si>
  <si>
    <t>45-49</t>
  </si>
  <si>
    <t>50-54</t>
  </si>
  <si>
    <t>55-59</t>
  </si>
  <si>
    <t>60-64</t>
  </si>
  <si>
    <t>65-69</t>
  </si>
  <si>
    <t>70-74</t>
  </si>
  <si>
    <t>75-79</t>
  </si>
  <si>
    <t>80-84</t>
  </si>
  <si>
    <t>4 or younger</t>
  </si>
  <si>
    <t>5-9</t>
  </si>
  <si>
    <t>10-14</t>
  </si>
  <si>
    <t>Age</t>
  </si>
  <si>
    <t>Source: National Center for Health Statistics</t>
  </si>
  <si>
    <t>Sources: National Center for Health Statistics and U.S. Census Bureau</t>
  </si>
  <si>
    <t>Note: Data have been adjusted to account for unknown or unspecified ages.</t>
  </si>
  <si>
    <t>85 or older</t>
  </si>
  <si>
    <t xml:space="preserve">White </t>
  </si>
  <si>
    <t>African-American</t>
  </si>
  <si>
    <t>American Indian</t>
  </si>
  <si>
    <t>Asian/Pacific Islander</t>
  </si>
  <si>
    <t>Overall</t>
  </si>
  <si>
    <t>Race</t>
  </si>
  <si>
    <t>State</t>
  </si>
  <si>
    <t>Texas</t>
  </si>
  <si>
    <t>California</t>
  </si>
  <si>
    <t>Pennsylvania</t>
  </si>
  <si>
    <t>Georgia</t>
  </si>
  <si>
    <t>Ohio</t>
  </si>
  <si>
    <t>New York</t>
  </si>
  <si>
    <t>Florida</t>
  </si>
  <si>
    <t>Tennessee</t>
  </si>
  <si>
    <t>Alabama</t>
  </si>
  <si>
    <t>Michigan</t>
  </si>
  <si>
    <t>North Carolina</t>
  </si>
  <si>
    <t>Missouri</t>
  </si>
  <si>
    <t>Illinois</t>
  </si>
  <si>
    <t>Indiana</t>
  </si>
  <si>
    <t>Louisiana</t>
  </si>
  <si>
    <t>Oklahoma</t>
  </si>
  <si>
    <t>Virginia</t>
  </si>
  <si>
    <t>Kentucky</t>
  </si>
  <si>
    <t>Mississippi</t>
  </si>
  <si>
    <t>Washington</t>
  </si>
  <si>
    <t>Maryland</t>
  </si>
  <si>
    <t>West Virginia</t>
  </si>
  <si>
    <t>New Jersey</t>
  </si>
  <si>
    <t>South Carolina</t>
  </si>
  <si>
    <t>Wisconsin</t>
  </si>
  <si>
    <t>Minnesota</t>
  </si>
  <si>
    <t>Kansas</t>
  </si>
  <si>
    <t>Arkansas</t>
  </si>
  <si>
    <t>Massachusetts</t>
  </si>
  <si>
    <t>Colorado</t>
  </si>
  <si>
    <t>Arizona</t>
  </si>
  <si>
    <t>Iowa</t>
  </si>
  <si>
    <t>District of Columbia</t>
  </si>
  <si>
    <t>Connecticut</t>
  </si>
  <si>
    <t>New Mexico</t>
  </si>
  <si>
    <t>Oregon</t>
  </si>
  <si>
    <t>Idaho</t>
  </si>
  <si>
    <t>Utah</t>
  </si>
  <si>
    <t>Nebraska</t>
  </si>
  <si>
    <t>Nevada</t>
  </si>
  <si>
    <t>Delaware</t>
  </si>
  <si>
    <t>Rhode Island</t>
  </si>
  <si>
    <t>New Hampshire</t>
  </si>
  <si>
    <t>Alaska</t>
  </si>
  <si>
    <t>South Dakota</t>
  </si>
  <si>
    <t>Montana</t>
  </si>
  <si>
    <t>Male Fire Deaths</t>
  </si>
  <si>
    <t>Female Fire Deaths</t>
  </si>
  <si>
    <t>Total Fire Deaths</t>
  </si>
  <si>
    <t>Male Fire Injuries (Percent)</t>
  </si>
  <si>
    <t>Female Fire Injuries (Percent)</t>
  </si>
  <si>
    <t xml:space="preserve">Male Fire Injuries per Million Population </t>
  </si>
  <si>
    <t xml:space="preserve">Female Fire Injuries per Million Population </t>
  </si>
  <si>
    <t>Total Fire Injuries (Percent)</t>
  </si>
  <si>
    <t xml:space="preserve">Total Fire Injuries per Million Population </t>
  </si>
  <si>
    <t>STATE</t>
  </si>
  <si>
    <t>2001 Fire Death Rate per Million Population (Crude Rate)</t>
  </si>
  <si>
    <t>2002 Fire Death Rate per Million Population (Crude Rate)</t>
  </si>
  <si>
    <t>2003 Fire Death Rate per Million Population (Crude Rate)</t>
  </si>
  <si>
    <t>2004 Fire Death Rate per Million Population (Crude Rate)</t>
  </si>
  <si>
    <t>2005 Fire Death Rate per Million Population (Crude Rate)</t>
  </si>
  <si>
    <t>2006 Fire Death Rate per Million Population (Crude Rate)</t>
  </si>
  <si>
    <t>2007 Fire Death Rate per Million Population (Crude Rate)</t>
  </si>
  <si>
    <t>2008 Fire Death Rate per Million Population (Crude Rate)</t>
  </si>
  <si>
    <t>2009 Fire Death Rate per Million Population (Crude Rate)</t>
  </si>
  <si>
    <t>2010 Fire Death Rate per Million Populaton (Crude Rate)</t>
  </si>
  <si>
    <t>Hawaii</t>
  </si>
  <si>
    <t>*</t>
  </si>
  <si>
    <t>Maine</t>
  </si>
  <si>
    <t>North Dakota</t>
  </si>
  <si>
    <t>Vermont</t>
  </si>
  <si>
    <t>Wyoming</t>
  </si>
  <si>
    <t xml:space="preserve">Notes: </t>
  </si>
  <si>
    <t xml:space="preserve">Specifically, ICD 10 Codes: F63.1, W39-W40, X00-X09, X75-X76, X96-X97, Y25-Y26, and Y35.1 were extracted for this analysis. </t>
  </si>
  <si>
    <t>–</t>
  </si>
  <si>
    <t>United States</t>
  </si>
  <si>
    <t>Notes:</t>
  </si>
  <si>
    <t>2. The fire death rates presented here reflect the crude death rates and are not age adjusted. The crude death rate is the total number of fire deaths per state divided by the total population per state and multiplied by 1,000,000. These crude death rates should not be used for comparisons between states due to the significant impact of age in mortality data and different age-distributions in different state populations.</t>
  </si>
  <si>
    <t>Sources:</t>
  </si>
  <si>
    <t>Number of Fire Deaths</t>
  </si>
  <si>
    <t>Population</t>
  </si>
  <si>
    <t>Fire Death Rate per Million Population</t>
  </si>
  <si>
    <t>Fire Deaths, Fire Death Rates Per Million Population, and Relative Risk for All Children Ages 0-14</t>
  </si>
  <si>
    <t>Fire Deaths, Fire Death Rates Per Million Population, and Relative Risk for Children Ages 0-4</t>
  </si>
  <si>
    <t>Fire Deaths, Fire Death Rates Per Million Population, and Relative Risk for Children Ages 5-9</t>
  </si>
  <si>
    <t>Fire Deaths, Fire Death Rates Per Million Population, and Relative Risk for Children Ages 10-14</t>
  </si>
  <si>
    <t>Fire Deaths, Fire Death Rates Per Million Population, and Relative Risk for Older Adults Ages 65-74</t>
  </si>
  <si>
    <t>Fire Deaths, Fire Death Rates Per Million Population, and Relative Risk for Older Adults Ages 75-84</t>
  </si>
  <si>
    <t>Fire Deaths, Fire Death Rates Per Million Population, and Relative Risk for Older Adults Ages 85+</t>
  </si>
  <si>
    <t>Description</t>
  </si>
  <si>
    <t>Worksheet Title</t>
  </si>
  <si>
    <t xml:space="preserve">Notes: 1. The computation of the trend is based on the simple linear regression Method of Least Squares. </t>
  </si>
  <si>
    <t xml:space="preserve">2. The numbers of fire deaths are adjusted for those deaths where age was not reported. </t>
  </si>
  <si>
    <t>3. The counts of fire deaths for individual age categories (0-4, 5-9, and 10-14) may not sum to the total per year for the 0-14 age category due to rounding.</t>
  </si>
  <si>
    <t>2. The numbers of fire deaths are adjusted for those deaths where age was not reported.</t>
  </si>
  <si>
    <t>3. The counts of fire deaths for individual age categories (65-74, 75-84, and 85+) may not sum to the total per year for the 65+ age category due to rounding.</t>
  </si>
  <si>
    <t>Relative Risk of Fire Deaths</t>
  </si>
  <si>
    <t>Relative Risk of Fire Injuries</t>
  </si>
  <si>
    <t xml:space="preserve">Sources:  </t>
  </si>
  <si>
    <t xml:space="preserve">Note: The computation of the trend is based on the simple linear regression Method of Least Squares. </t>
  </si>
  <si>
    <t>Number of Fire Deaths (Ages 0 to 14)</t>
  </si>
  <si>
    <t>Number of Fire Deaths (Ages 0 to 4)</t>
  </si>
  <si>
    <t>Number of Fire Deaths (Ages 5 to 9)</t>
  </si>
  <si>
    <t>Number of Fire Deaths (Ages 10 to 14)</t>
  </si>
  <si>
    <t>Fire Deaths, Fire Death Rates Per Million Population, and Relative Risk for All Older Adults Ages 65+</t>
  </si>
  <si>
    <t>Number of Fire Deaths (Ages 65+)</t>
  </si>
  <si>
    <t>Number of Fire Deaths (Ages 65 to 74)</t>
  </si>
  <si>
    <t>Number of Fire Deaths (Ages 75 to 84)</t>
  </si>
  <si>
    <t xml:space="preserve">Number of Fire Deaths (Ages 85+) </t>
  </si>
  <si>
    <t>2000 Fire Death Rate per Million Population (Crude Rate)</t>
  </si>
  <si>
    <t>2011 Fire Death Rate per Million Populaton (Crude Rate)</t>
  </si>
  <si>
    <t>National Fire Death Rate</t>
  </si>
  <si>
    <t xml:space="preserve">1.     Fire death rates are based on all deaths in which exposure to fire, fire products, or explosion was the underlying cause of death or was a contributing factor in the chain of events leading to death. </t>
  </si>
  <si>
    <t xml:space="preserve">2.     The fire death rates presented here reflect the crude death rates and are not age adjusted. The crude death rate is the total number of fire deaths per state divided by the total population per state and multiplied by 1,000,000. </t>
  </si>
  <si>
    <t>These crude death rates should not be used for comparisons between states due to the significant impact of age in mortality data and different age-distributions in different state populations.</t>
  </si>
  <si>
    <t>Total Percent</t>
  </si>
  <si>
    <t>Alaska*</t>
  </si>
  <si>
    <t>Montana*</t>
  </si>
  <si>
    <t>4. Fire death rates for states with an asterisk (*) should be used with caution due to small numbers of deaths. Per the National Center for Health Statistics, National Vital Statistics Reports Volume 60, Number 4, "Deaths: Preliminary Data for 2010," a rate or percentage is based on at least 20 deaths. Rates based on fewer than 20 deaths are considered highly variable.</t>
  </si>
  <si>
    <t>10-Year Trend (%)</t>
  </si>
  <si>
    <t>2012 Fire Death Rate per Million Population (Crude Rate)</t>
  </si>
  <si>
    <t>2013 Fire Death Rate per Million Population (Crude Rate)</t>
  </si>
  <si>
    <t>3.     Starting with 2010, the * indicates states where fire death rates were not computed due to very small numbers of fire deaths (less than 10 deaths).</t>
  </si>
  <si>
    <t xml:space="preserve">Total </t>
  </si>
  <si>
    <t>District of Columbia*</t>
  </si>
  <si>
    <t>2014 Fire Death Rate per Million Population (Crude Rate)</t>
  </si>
  <si>
    <t xml:space="preserve">                              to compute the fire death rates in this historical table are not updated using revised annual population estimates.</t>
  </si>
  <si>
    <t>Total (Percent)</t>
  </si>
  <si>
    <t>Notes: 1. Relative risk compares the per capita rate for a particular group (e.g., age group) to the overall per capita rate (i.e., the general population). For the general population, the relative risk is set at 1.0.              2. Data have been adjusted to account for unknown or unspecified ages.</t>
  </si>
  <si>
    <t>Notes: 1. Relative risk compares the per capita rate for a particular group (e.g., age group) to the overall per capita rate (i.e., the general population). For the general population, the relative risk is set at 1.0.                           2. Data have been adjusted to account for unknown or unspecified ages.</t>
  </si>
  <si>
    <t>Note: The overall numbers of male and female fire deaths include individuals with "2+ races" per the Census. The "2+ races" category accounts for 2.6 percent of the population. NCHS does not inlucde this race category.</t>
  </si>
  <si>
    <t>2015 Fire Death Rate per Million Population (Crude Rate)</t>
  </si>
  <si>
    <t>Idaho*</t>
  </si>
  <si>
    <t>Maine*</t>
  </si>
  <si>
    <t>New Hampshire*</t>
  </si>
  <si>
    <t xml:space="preserve">Oregon </t>
  </si>
  <si>
    <t>Sources: National Fire Incident Reporting System, National Fire Protection Association, and U.S. Census Bureau.</t>
  </si>
  <si>
    <t>Source: National Fire Incident Reporting System.</t>
  </si>
  <si>
    <t>Source: National Center for Health Statistics.</t>
  </si>
  <si>
    <t>Sources: National Center for Health Statistics and U.S. Census Bureau.</t>
  </si>
  <si>
    <t xml:space="preserve">Note: Data have been adjusted to account for unknown or unspecified ages. </t>
  </si>
  <si>
    <t>Deaths by Age 2016</t>
  </si>
  <si>
    <t>Deaths by Age+Gender 2016</t>
  </si>
  <si>
    <t>Deaths by Race+Gender 2016</t>
  </si>
  <si>
    <t>State Deaths, Rate, Risk 2016</t>
  </si>
  <si>
    <t>Ntl State Death Rate 2000-2016</t>
  </si>
  <si>
    <t>Injuries by Age 2016</t>
  </si>
  <si>
    <t>Injuries by Age+Gender 2016</t>
  </si>
  <si>
    <t>Data tables for fire deaths, fire death rates per million population, and relative risk of fire deaths by age (2016).</t>
  </si>
  <si>
    <t>Data tables for fire deaths and fire death rates per million population by age and gender (2016).</t>
  </si>
  <si>
    <t>Data tables for fire deaths and fire death rates per million population by race and gender (2016).</t>
  </si>
  <si>
    <t>Data tables for fire deaths, fire death rates per million population, and relative risk of fire deaths by state (2016).</t>
  </si>
  <si>
    <t>Data tables for fire injuries, fire injury rates per million population, and relative risk of fire injuries by age (2016).</t>
  </si>
  <si>
    <t>Data tables for fire injuries and fire injury rates per million population by age and gender (2016).</t>
  </si>
  <si>
    <t>Notes: 1. Data have been adjusted to account for unknown or unspecified ages.  2. The national fire death rate in 2016 was 10.9.</t>
  </si>
  <si>
    <t>Fire Deaths by Age (2016)</t>
  </si>
  <si>
    <t>Total Fire Deaths (3,515 cases) (Percent)</t>
  </si>
  <si>
    <t>Total Fire Deaths per Million Population (3,515 cases)</t>
  </si>
  <si>
    <t>Relative Risk of Fire Deaths (3,515 cases)</t>
  </si>
  <si>
    <t>Fire Death Rates Per Million Population by Age (2016)</t>
  </si>
  <si>
    <t>Relative Risk of Fire Deaths by Age (2016)</t>
  </si>
  <si>
    <t>Distribution of Fire Deaths by Gender (2016) (3,515 cases)</t>
  </si>
  <si>
    <t>Male Fire Deaths (2,119 cases) (Percent)</t>
  </si>
  <si>
    <t>Female Fire Deaths (1,396 cases) (Percent)</t>
  </si>
  <si>
    <t>Fire Deaths by Age and Gender (2016)</t>
  </si>
  <si>
    <t>Male Fire Deaths per Million Population (2,119 cases)</t>
  </si>
  <si>
    <t>Female Fire Deaths per Million Population (1,396 cases)</t>
  </si>
  <si>
    <t>Fire Death Rates Per Million Population by Age and Gender (2016)</t>
  </si>
  <si>
    <t>Fire Deaths by Race and Gender (2016)</t>
  </si>
  <si>
    <t>Fire Death Rates Per Million Population by Race and Gender (2016)</t>
  </si>
  <si>
    <t>Notes: 1. The overall numbers of male and female fire deaths include individuals with "2+ races" per the Census. The "2+ races" category accounts for 2.6 percent of the population. NCHS does not inlucde this race category.                                         2. The national fire death rate in 2016 was 10.9.</t>
  </si>
  <si>
    <t>Connecticut*</t>
  </si>
  <si>
    <t>Rhode Island*</t>
  </si>
  <si>
    <t>South Dakota*</t>
  </si>
  <si>
    <t>Vermont*</t>
  </si>
  <si>
    <t>1. National Center for Health Statistics. 2016 Mortality Data File, as compiled from data provided by the 57 vital statistics jurisdictions through the Vital Statistics Cooperative Program.</t>
  </si>
  <si>
    <t>State Fire Deaths, Fire Death Rates Per Million Population, and Relative Risk of Fire Deaths (2016)</t>
  </si>
  <si>
    <t>Fire Deaths (2016)</t>
  </si>
  <si>
    <t>Fire Death Rate Per Million Population (2016)</t>
  </si>
  <si>
    <t>Relative Risk of Fire Deaths (2016)</t>
  </si>
  <si>
    <t>2. U.S. Census Bureau, Population Division. July 1, 2016 population estimates from Table 1. Annual Estimates of the Resident Population for the United States, Regions, States, and Puerto Rico: April 1, 2010 to July 1, 2017 (NST-EST2017-01), Release Date: December 2017.</t>
  </si>
  <si>
    <t>1. Fire death rates are based on all deaths in which exposure to fire, fire products, or explosion was the underlying cause of death or was a contributing factor in the chain of events leading to death. Specifically, ICD 10 Codes: F63.1, W39-W40, X00-X09, X75-X76, X96-X97, Y25-Y26, and Y35.1 were extracted for this analysis resulting in a total of 3,515 fire deaths.</t>
  </si>
  <si>
    <t>3. Fire death rates and relative risk were not computed for DE, HI, ND, and WY due to very small numbers of fire deaths (less than 10 deaths).</t>
  </si>
  <si>
    <t>2016 Fire Death Rate per Million Population (Crude Rate)</t>
  </si>
  <si>
    <t>State Fire Death Rates Per Million Population (2000-2016)</t>
  </si>
  <si>
    <t>Sources:  1. National Center for Health Statistics. 2000-2016 Mortality Data Files, as compiled from data provided by the 57 vital statistics jurisdictions through the Vital Statistics Cooperative Program.</t>
  </si>
  <si>
    <t xml:space="preserve">                   2.  U.S. Census Bureau, Population Division. July 1, 2000-2016 population estimates.</t>
  </si>
  <si>
    <t>1. National Center for Health Statistics. 2007-2016 Mortality Data Files, as compiled from data provided by the 57 vital statistics jurisdictions through the Vital Statistics Cooperative Program.</t>
  </si>
  <si>
    <t>National Fire Death Rates Per Million Population (2007-2016)</t>
  </si>
  <si>
    <t>2.  U.S. Census Bureau, Population Division. July 1, 2007-2009 population estimates from Table 1. Intercensal Estimates of the Resident Population for the United States, Regions, States, and Puerto Rico: April 1, 2000 to July 1, 2010 (ST-EST00INT-01). Release date: September 2011.</t>
  </si>
  <si>
    <t>3. U.S. Census Bureau, Population Division. July 1, 2010-2016 population estimates from Table 1. Annual Estimates of the Resident Population for the United States, Regions, States, and Puerto Rico: April 1, 2010 to July 1, 2017 (NST-EST2017-01). Release date: December 2017.</t>
  </si>
  <si>
    <t>Fire Deaths, Fire Death Rates Per Million Population, and Relative Risk of Fire Deaths for Children Ages 0 thru 14 (2007-2016)</t>
  </si>
  <si>
    <t xml:space="preserve">Sources: 1. National Center for Health Statistics. 2007-2016 Mortality Data Files, as compiled from data provided by the 57 vital statistics jurisdictions through the Vital Statistics Cooperative Program. </t>
  </si>
  <si>
    <t xml:space="preserve">2. U.S. Census Bureau, Population Division. July 1, 2007-2009 population estimates from Table 1. Intercensal Estimates of the Resident Population by Sex and Age for the United States: April 1, 2000 to July 1, 2010 (US-EST00INT-01). Release date: September 2011. </t>
  </si>
  <si>
    <t>3. U.S. Census Bureau, Population Division. July 1, 2010-2016 population estimates from the table, Annual Estimates of the Resident Population for Selected Age Groups by Sex for the United States, States, Counties, and Puerto Rico Commonwealth and Municipios: April 1, 2010 to July 1, 2017. Release date: June 2018.</t>
  </si>
  <si>
    <t>Fire Deaths, Fire Death Rates Per Million Population, and Relative Risk of Fire Deaths for Older Adults Ages 65+ (2007-2016)</t>
  </si>
  <si>
    <t>Sources: 1. National Center for Health Statistics. 2007-2016 Mortality Data Files, as compiled from data provided by the 57 vital statistics jurisdictions through the Vital Statistics Cooperative Program.</t>
  </si>
  <si>
    <t xml:space="preserve"> 2. U.S. Census Bureau, Population Division. July 1, 2007-2009 population estimates from Table 1. Intercensal Estimates of the Resident Population by Sex and Age for the United States: April 1, 2000 to July 1, 2010 (US-EST00INT-01). Release date: September 2011. </t>
  </si>
  <si>
    <t xml:space="preserve"> 3. U.S. Census Bureau, Population Division. July 1, 2010-2016 population estimates from the table, Annual Estimates of the Resident Population for Selected Age Groups by Sex for the United States, States, Counties, and Puerto Rico Commonwealth and Municipios: April 1, 2010 to July 1, 2017. Release date: June 2018. </t>
  </si>
  <si>
    <t>Death, Rate, Risk Child '07-'16</t>
  </si>
  <si>
    <t>Death, Rate, Risk Older '07-'16</t>
  </si>
  <si>
    <t>Fire Injuries by Age (2016) (14,650 Injuries*)</t>
  </si>
  <si>
    <t>*According to the National Fire Protection Association, in 2016, there were an estimated 14,650 civilian fire injuries.</t>
  </si>
  <si>
    <t>Notes: 1. Data have been adjusted to account for unknown or unspecified ages.  2. The national fire injury rate in 2016 was 45.3.</t>
  </si>
  <si>
    <t>Fire Injury Rates Per Million Population by Age (2016)</t>
  </si>
  <si>
    <t>Relative Risk of Fire Injuries by Age (2016)</t>
  </si>
  <si>
    <t>Distribution of Fire Injuries by Gender (2016) (14,650*)</t>
  </si>
  <si>
    <t>Fire Injuries by Age and Gender (2016)</t>
  </si>
  <si>
    <t>Fire Injury Rates Per Million Population by Age and Gender (2016)</t>
  </si>
  <si>
    <t>Data tables for national fire deaths and fire death rates per million population (2007-2016) and fire death rates per million population by state (2000-2016).</t>
  </si>
  <si>
    <t>Data tables for fire deaths, fire death rates per million population, and relative risk of fire deaths for children ages 0 thru 14 (2007-2016).  This includes separate tables with fire deaths, fire death rates per million population, and relative risk of fire deaths for individual age categories of 0 to 4, 5 to 9, and 10 to 14.</t>
  </si>
  <si>
    <t>Data tables for fire deaths, fire death rates per million population, and relative risk of fire deaths for older adults ages 65+ (2007-2016).  This includes separate tables with fire deaths, fire death rates per million population, and relative risk of fire deaths for individual age categories of 65 to 74, 75 to 84, and 85+.</t>
  </si>
  <si>
    <t xml:space="preserve">4. The national fire death rates in this historical table may be slightly different than those in the National Fire Death Rates per Million Population (2007-2016) table above as the U.S. Census Bureau population estimates used </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</si>
</sst>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
    <numFmt numFmtId="165" formatCode="0.0%"/>
    <numFmt numFmtId="166" formatCode="mmmm\ d\,\ yyyy"/>
    <numFmt numFmtId="167" formatCode="0.00000000"/>
    <numFmt numFmtId="168" formatCode="0.0000"/>
  </numFmts>
  <fonts count="26" x14ac:knownFonts="1">
    <font>
      <sz val="11"/>
      <color theme="1"/>
      <name val="Calibri"/>
      <family val="2"/>
      <scheme val="minor"/>
    </font>
    <font>
      <sz val="12"/>
      <color theme="1"/>
      <name val="Times New Roman"/>
      <family val="1"/>
    </font>
    <font>
      <sz val="10"/>
      <name val="MS Sans Serif"/>
      <family val="2"/>
    </font>
    <font>
      <sz val="11"/>
      <color theme="1"/>
      <name val="Times New Roman"/>
      <family val="1"/>
    </font>
    <font>
      <sz val="11"/>
      <name val="Times New Roman"/>
      <family val="1"/>
    </font>
    <font>
      <i/>
      <sz val="9"/>
      <color theme="1"/>
      <name val="Times New Roman"/>
      <family val="1"/>
    </font>
    <font>
      <b/>
      <sz val="14"/>
      <color theme="1"/>
      <name val="Times New Roman"/>
      <family val="1"/>
    </font>
    <font>
      <b/>
      <sz val="12"/>
      <color theme="1"/>
      <name val="Times New Roman"/>
      <family val="1"/>
    </font>
    <font>
      <b/>
      <u/>
      <sz val="14"/>
      <color theme="1"/>
      <name val="Times New Roman"/>
      <family val="1"/>
    </font>
    <font>
      <b/>
      <sz val="11"/>
      <name val="Times New Roman"/>
      <family val="1"/>
    </font>
    <font>
      <sz val="9"/>
      <name val="Arial"/>
      <family val="2"/>
    </font>
    <font>
      <i/>
      <sz val="9"/>
      <name val="Arial"/>
      <family val="2"/>
    </font>
    <font>
      <i/>
      <sz val="9"/>
      <name val="Times New Roman"/>
      <family val="1"/>
    </font>
    <font>
      <b/>
      <sz val="11"/>
      <color theme="1"/>
      <name val="Times New Roman"/>
      <family val="1"/>
    </font>
    <font>
      <sz val="10"/>
      <name val="Arial"/>
      <family val="2"/>
    </font>
    <font>
      <sz val="9"/>
      <color theme="1"/>
      <name val="Calibri"/>
      <family val="2"/>
      <scheme val="minor"/>
    </font>
    <font>
      <i/>
      <sz val="9"/>
      <color rgb="FF000000"/>
      <name val="Times New Roman"/>
      <family val="1"/>
    </font>
    <font>
      <sz val="11"/>
      <color rgb="FF000000"/>
      <name val="Times New Roman"/>
      <family val="1"/>
    </font>
    <font>
      <b/>
      <sz val="11"/>
      <color theme="1"/>
      <name val="Calibri"/>
      <family val="2"/>
      <scheme val="minor"/>
    </font>
    <font>
      <b/>
      <sz val="11"/>
      <color rgb="FF000000"/>
      <name val="Times New Roman"/>
      <family val="1"/>
    </font>
    <font>
      <sz val="10"/>
      <name val="Times New Roman"/>
      <family val="1"/>
    </font>
    <font>
      <b/>
      <sz val="11"/>
      <color rgb="FFFF0000"/>
      <name val="Calibri"/>
      <family val="2"/>
      <scheme val="minor"/>
    </font>
    <font>
      <b/>
      <sz val="10"/>
      <name val="MS Sans Serif"/>
      <family val="2"/>
    </font>
    <font>
      <b/>
      <sz val="10"/>
      <name val="Arial"/>
      <family val="2"/>
    </font>
    <font>
      <sz val="9"/>
      <color theme="1"/>
      <name val="Times New Roman"/>
      <family val="1"/>
    </font>
    <font>
      <sz val="11"/>
      <color indexed="8"/>
      <name val="Times New Roman"/>
      <family val="1"/>
    </font>
  </fonts>
  <fills count="3">
    <fill>
      <patternFill patternType="none"/>
    </fill>
    <fill>
      <patternFill patternType="gray125"/>
    </fill>
    <fill>
      <patternFill patternType="solid">
        <fgColor theme="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auto="1"/>
      </left>
      <right/>
      <top/>
      <bottom/>
      <diagonal/>
    </border>
    <border>
      <left style="thin">
        <color indexed="64"/>
      </left>
      <right/>
      <top style="thin">
        <color indexed="64"/>
      </top>
      <bottom/>
      <diagonal/>
    </border>
  </borders>
  <cellStyleXfs count="3">
    <xf numFmtId="0" fontId="0" fillId="0" borderId="0"/>
    <xf numFmtId="0" fontId="2" fillId="0" borderId="0"/>
    <xf numFmtId="0" fontId="14" fillId="0" borderId="0"/>
  </cellStyleXfs>
  <cellXfs count="163">
    <xf numFmtId="0" fontId="0" fillId="0" borderId="0" xfId="0"/>
    <xf numFmtId="0" fontId="0" fillId="0" borderId="0" xfId="0" applyBorder="1"/>
    <xf numFmtId="0" fontId="5" fillId="0" borderId="0" xfId="0" applyFont="1"/>
    <xf numFmtId="0" fontId="5" fillId="0" borderId="0" xfId="0" applyFont="1" applyBorder="1" applyAlignment="1">
      <alignment vertical="top" wrapText="1"/>
    </xf>
    <xf numFmtId="0" fontId="3" fillId="0" borderId="0" xfId="0" applyFont="1"/>
    <xf numFmtId="164" fontId="0" fillId="0" borderId="1" xfId="0" applyNumberFormat="1" applyBorder="1"/>
    <xf numFmtId="0" fontId="3" fillId="0" borderId="1" xfId="0" applyFont="1" applyBorder="1" applyAlignment="1">
      <alignment horizontal="center" wrapText="1"/>
    </xf>
    <xf numFmtId="0" fontId="3" fillId="0" borderId="1" xfId="0" applyFont="1" applyBorder="1"/>
    <xf numFmtId="0" fontId="7" fillId="0" borderId="0" xfId="0" applyFont="1"/>
    <xf numFmtId="0" fontId="1" fillId="0" borderId="0" xfId="0" applyFont="1"/>
    <xf numFmtId="164" fontId="3" fillId="0" borderId="1" xfId="0" applyNumberFormat="1" applyFont="1" applyBorder="1"/>
    <xf numFmtId="164" fontId="0" fillId="0" borderId="0" xfId="0" applyNumberFormat="1" applyBorder="1"/>
    <xf numFmtId="165" fontId="3" fillId="0" borderId="0" xfId="0" applyNumberFormat="1" applyFont="1" applyBorder="1"/>
    <xf numFmtId="10" fontId="0" fillId="0" borderId="0" xfId="0" applyNumberFormat="1" applyAlignment="1">
      <alignment wrapText="1"/>
    </xf>
    <xf numFmtId="0" fontId="4" fillId="0" borderId="1" xfId="0" applyFont="1" applyBorder="1"/>
    <xf numFmtId="0" fontId="5" fillId="0" borderId="0" xfId="0" applyFont="1" applyAlignment="1">
      <alignment vertical="top"/>
    </xf>
    <xf numFmtId="0" fontId="5" fillId="0" borderId="0" xfId="0" applyFont="1" applyBorder="1" applyAlignment="1">
      <alignment vertical="top"/>
    </xf>
    <xf numFmtId="0" fontId="3" fillId="2" borderId="2" xfId="0" applyFont="1" applyFill="1" applyBorder="1" applyAlignment="1">
      <alignment horizontal="right"/>
    </xf>
    <xf numFmtId="49" fontId="3" fillId="2" borderId="1" xfId="0" applyNumberFormat="1" applyFont="1" applyFill="1" applyBorder="1" applyAlignment="1">
      <alignment horizontal="right"/>
    </xf>
    <xf numFmtId="0" fontId="3" fillId="2" borderId="1" xfId="0" applyFont="1" applyFill="1" applyBorder="1" applyAlignment="1">
      <alignment horizontal="right"/>
    </xf>
    <xf numFmtId="0" fontId="6" fillId="0" borderId="0" xfId="0" applyFont="1" applyBorder="1"/>
    <xf numFmtId="164" fontId="3" fillId="0" borderId="1" xfId="0" applyNumberFormat="1" applyFont="1" applyFill="1" applyBorder="1"/>
    <xf numFmtId="164" fontId="0" fillId="0" borderId="0" xfId="0" applyNumberFormat="1"/>
    <xf numFmtId="0" fontId="3" fillId="0" borderId="1" xfId="0" applyNumberFormat="1" applyFont="1" applyBorder="1"/>
    <xf numFmtId="0" fontId="9" fillId="0" borderId="1" xfId="0" applyNumberFormat="1" applyFont="1" applyBorder="1"/>
    <xf numFmtId="164" fontId="9" fillId="0" borderId="1" xfId="0" applyNumberFormat="1" applyFont="1" applyFill="1" applyBorder="1" applyAlignment="1">
      <alignment wrapText="1"/>
    </xf>
    <xf numFmtId="164" fontId="9" fillId="0" borderId="1" xfId="0" applyNumberFormat="1" applyFont="1" applyBorder="1" applyAlignment="1">
      <alignment wrapText="1"/>
    </xf>
    <xf numFmtId="2" fontId="9" fillId="0" borderId="1" xfId="0" applyNumberFormat="1" applyFont="1" applyFill="1" applyBorder="1" applyAlignment="1">
      <alignment wrapText="1"/>
    </xf>
    <xf numFmtId="164" fontId="4" fillId="0" borderId="1" xfId="0" applyNumberFormat="1" applyFont="1" applyBorder="1" applyAlignment="1">
      <alignment horizontal="right"/>
    </xf>
    <xf numFmtId="0" fontId="9" fillId="0" borderId="0" xfId="0" applyFont="1"/>
    <xf numFmtId="0" fontId="5" fillId="0" borderId="0" xfId="0" applyFont="1" applyAlignment="1">
      <alignment horizontal="left" vertical="center" indent="1"/>
    </xf>
    <xf numFmtId="0" fontId="8" fillId="0" borderId="0" xfId="0" applyFont="1" applyBorder="1"/>
    <xf numFmtId="10" fontId="4" fillId="0" borderId="1" xfId="0" applyNumberFormat="1" applyFont="1" applyBorder="1" applyAlignment="1">
      <alignment horizontal="center" wrapText="1"/>
    </xf>
    <xf numFmtId="0" fontId="3" fillId="0" borderId="0" xfId="0" applyFont="1" applyBorder="1"/>
    <xf numFmtId="0" fontId="7" fillId="0" borderId="1" xfId="0" applyFont="1" applyBorder="1" applyAlignment="1">
      <alignment horizontal="center"/>
    </xf>
    <xf numFmtId="0" fontId="3" fillId="0" borderId="4" xfId="0" applyFont="1" applyBorder="1" applyAlignment="1">
      <alignment horizontal="center" wrapText="1"/>
    </xf>
    <xf numFmtId="3" fontId="3" fillId="0" borderId="1" xfId="0" applyNumberFormat="1" applyFont="1" applyBorder="1" applyAlignment="1">
      <alignment horizontal="center" vertical="center" wrapText="1"/>
    </xf>
    <xf numFmtId="2" fontId="4" fillId="2" borderId="4" xfId="0" applyNumberFormat="1" applyFont="1" applyFill="1" applyBorder="1" applyAlignment="1">
      <alignment horizontal="center" wrapText="1"/>
    </xf>
    <xf numFmtId="164" fontId="9" fillId="0" borderId="0" xfId="0" applyNumberFormat="1" applyFont="1"/>
    <xf numFmtId="3" fontId="17" fillId="0" borderId="1" xfId="0" applyNumberFormat="1" applyFont="1" applyBorder="1" applyAlignment="1">
      <alignment horizontal="center" vertical="center" wrapText="1"/>
    </xf>
    <xf numFmtId="0" fontId="3" fillId="2" borderId="0" xfId="0" applyFont="1" applyFill="1" applyBorder="1" applyAlignment="1">
      <alignment horizontal="right"/>
    </xf>
    <xf numFmtId="164" fontId="3" fillId="0" borderId="0" xfId="0" applyNumberFormat="1" applyFont="1" applyFill="1" applyBorder="1"/>
    <xf numFmtId="0" fontId="0" fillId="0" borderId="0" xfId="0" applyFill="1"/>
    <xf numFmtId="164" fontId="3" fillId="0" borderId="1" xfId="0" applyNumberFormat="1" applyFont="1" applyBorder="1" applyAlignment="1">
      <alignment horizontal="right" vertical="center" wrapText="1"/>
    </xf>
    <xf numFmtId="164" fontId="4" fillId="0" borderId="4" xfId="0" applyNumberFormat="1" applyFont="1" applyFill="1" applyBorder="1" applyAlignment="1">
      <alignment horizontal="center" wrapText="1"/>
    </xf>
    <xf numFmtId="0" fontId="3" fillId="0" borderId="1" xfId="0" applyFont="1" applyBorder="1" applyAlignment="1">
      <alignment horizontal="center" vertical="center" wrapText="1"/>
    </xf>
    <xf numFmtId="0" fontId="3" fillId="0" borderId="5" xfId="0" applyFont="1" applyBorder="1" applyAlignment="1">
      <alignment vertical="center" wrapText="1"/>
    </xf>
    <xf numFmtId="0" fontId="3" fillId="0" borderId="6" xfId="0" applyFont="1" applyBorder="1" applyAlignment="1">
      <alignment horizontal="center" vertical="center" wrapText="1"/>
    </xf>
    <xf numFmtId="0" fontId="17" fillId="0" borderId="6" xfId="0" applyFont="1" applyBorder="1" applyAlignment="1">
      <alignment horizontal="center" vertical="center" wrapText="1"/>
    </xf>
    <xf numFmtId="0" fontId="3" fillId="0" borderId="8" xfId="0" applyFont="1" applyBorder="1" applyAlignment="1">
      <alignment horizontal="center" wrapText="1"/>
    </xf>
    <xf numFmtId="0" fontId="0" fillId="0" borderId="7" xfId="0" applyBorder="1"/>
    <xf numFmtId="164" fontId="4" fillId="0" borderId="7" xfId="0" applyNumberFormat="1" applyFont="1" applyBorder="1"/>
    <xf numFmtId="165" fontId="4" fillId="0" borderId="7" xfId="0" applyNumberFormat="1" applyFont="1" applyBorder="1"/>
    <xf numFmtId="0" fontId="3" fillId="0" borderId="0" xfId="0" applyFont="1" applyBorder="1" applyAlignment="1">
      <alignment horizontal="center" vertical="center" wrapText="1"/>
    </xf>
    <xf numFmtId="3" fontId="3" fillId="0" borderId="0" xfId="0" applyNumberFormat="1" applyFont="1" applyBorder="1" applyAlignment="1">
      <alignment horizontal="center" vertical="center" wrapText="1"/>
    </xf>
    <xf numFmtId="3" fontId="17" fillId="0" borderId="0" xfId="0" applyNumberFormat="1" applyFont="1" applyBorder="1" applyAlignment="1">
      <alignment horizontal="center" vertical="center" wrapText="1"/>
    </xf>
    <xf numFmtId="164" fontId="3" fillId="0" borderId="5" xfId="0" applyNumberFormat="1" applyFont="1" applyBorder="1" applyAlignment="1">
      <alignment horizontal="center" vertical="center" wrapText="1"/>
    </xf>
    <xf numFmtId="2" fontId="13" fillId="0" borderId="1" xfId="0" applyNumberFormat="1" applyFont="1" applyBorder="1" applyAlignment="1">
      <alignment wrapText="1"/>
    </xf>
    <xf numFmtId="164" fontId="13" fillId="0" borderId="3" xfId="0" applyNumberFormat="1" applyFont="1" applyFill="1" applyBorder="1"/>
    <xf numFmtId="164" fontId="20" fillId="0" borderId="1" xfId="0" applyNumberFormat="1" applyFont="1" applyBorder="1" applyAlignment="1">
      <alignment horizontal="right"/>
    </xf>
    <xf numFmtId="164" fontId="13" fillId="0" borderId="3" xfId="0" applyNumberFormat="1" applyFont="1" applyBorder="1"/>
    <xf numFmtId="164" fontId="3" fillId="0" borderId="1" xfId="0" applyNumberFormat="1" applyFont="1" applyBorder="1" applyAlignment="1">
      <alignment horizontal="right"/>
    </xf>
    <xf numFmtId="0" fontId="12" fillId="0" borderId="0" xfId="0" applyFont="1" applyFill="1"/>
    <xf numFmtId="0" fontId="11" fillId="0" borderId="0" xfId="0" applyFont="1" applyFill="1"/>
    <xf numFmtId="164" fontId="10" fillId="0" borderId="0" xfId="0" applyNumberFormat="1" applyFont="1" applyFill="1"/>
    <xf numFmtId="0" fontId="10" fillId="0" borderId="0" xfId="0" applyFont="1" applyFill="1"/>
    <xf numFmtId="0" fontId="12" fillId="0" borderId="0" xfId="0" applyFont="1" applyFill="1" applyAlignment="1">
      <alignment horizontal="left" indent="6"/>
    </xf>
    <xf numFmtId="0" fontId="16" fillId="0" borderId="0" xfId="0" applyFont="1" applyFill="1" applyAlignment="1">
      <alignment vertical="center"/>
    </xf>
    <xf numFmtId="0" fontId="3" fillId="0" borderId="0" xfId="0" applyFont="1" applyFill="1" applyBorder="1"/>
    <xf numFmtId="165" fontId="4" fillId="0" borderId="0" xfId="0" applyNumberFormat="1" applyFont="1" applyFill="1" applyBorder="1"/>
    <xf numFmtId="0" fontId="13" fillId="0" borderId="0" xfId="0" applyFont="1" applyFill="1" applyBorder="1" applyAlignment="1">
      <alignment vertical="center" wrapText="1"/>
    </xf>
    <xf numFmtId="0" fontId="13" fillId="0" borderId="0" xfId="0" applyFont="1" applyFill="1" applyBorder="1" applyAlignment="1">
      <alignment horizontal="center" vertical="center" wrapText="1"/>
    </xf>
    <xf numFmtId="0" fontId="19" fillId="0" borderId="0" xfId="0" applyFont="1" applyFill="1" applyBorder="1" applyAlignment="1">
      <alignment horizontal="center" vertical="center" wrapText="1"/>
    </xf>
    <xf numFmtId="10" fontId="13" fillId="0" borderId="0" xfId="0" applyNumberFormat="1" applyFont="1" applyFill="1" applyBorder="1" applyAlignment="1">
      <alignment horizontal="center" vertical="center" wrapText="1"/>
    </xf>
    <xf numFmtId="0" fontId="5" fillId="0" borderId="0" xfId="0" applyFont="1" applyFill="1" applyAlignment="1">
      <alignment vertical="center"/>
    </xf>
    <xf numFmtId="0" fontId="15" fillId="0" borderId="0" xfId="0" applyFont="1" applyFill="1" applyAlignment="1">
      <alignment vertical="center"/>
    </xf>
    <xf numFmtId="0" fontId="3" fillId="0" borderId="4" xfId="0" applyFont="1" applyFill="1" applyBorder="1" applyAlignment="1">
      <alignment horizontal="center" wrapText="1"/>
    </xf>
    <xf numFmtId="0" fontId="5" fillId="0" borderId="0" xfId="0" applyFont="1" applyFill="1"/>
    <xf numFmtId="0" fontId="3" fillId="0" borderId="1" xfId="0" applyFont="1" applyFill="1" applyBorder="1" applyAlignment="1">
      <alignment horizontal="center" wrapText="1"/>
    </xf>
    <xf numFmtId="0" fontId="3" fillId="0" borderId="0" xfId="0" applyFont="1" applyFill="1"/>
    <xf numFmtId="164" fontId="3" fillId="0" borderId="7" xfId="0" applyNumberFormat="1" applyFont="1" applyFill="1" applyBorder="1" applyAlignment="1">
      <alignment wrapText="1"/>
    </xf>
    <xf numFmtId="0" fontId="21" fillId="0" borderId="0" xfId="0" applyFont="1"/>
    <xf numFmtId="0" fontId="5" fillId="0" borderId="0" xfId="0" applyFont="1" applyFill="1" applyAlignment="1">
      <alignment vertical="top" wrapText="1"/>
    </xf>
    <xf numFmtId="0" fontId="18" fillId="0" borderId="0" xfId="0" applyFont="1" applyFill="1"/>
    <xf numFmtId="0" fontId="3" fillId="0" borderId="0" xfId="0" applyFont="1" applyFill="1" applyBorder="1" applyAlignment="1">
      <alignment horizontal="center" vertical="center" wrapText="1"/>
    </xf>
    <xf numFmtId="0" fontId="5" fillId="0" borderId="0" xfId="0" applyFont="1" applyFill="1" applyBorder="1"/>
    <xf numFmtId="0" fontId="1" fillId="0" borderId="0" xfId="0" applyFont="1" applyFill="1"/>
    <xf numFmtId="0" fontId="1" fillId="0" borderId="0" xfId="0" applyFont="1" applyFill="1" applyAlignment="1">
      <alignment wrapText="1"/>
    </xf>
    <xf numFmtId="164" fontId="3" fillId="0" borderId="1" xfId="0" applyNumberFormat="1" applyFont="1" applyBorder="1" applyAlignment="1">
      <alignment horizontal="center" vertical="center" wrapText="1"/>
    </xf>
    <xf numFmtId="164" fontId="3" fillId="0" borderId="1" xfId="0" applyNumberFormat="1" applyFont="1" applyFill="1" applyBorder="1" applyAlignment="1">
      <alignment wrapText="1"/>
    </xf>
    <xf numFmtId="164" fontId="13" fillId="0" borderId="0" xfId="0" applyNumberFormat="1" applyFont="1" applyFill="1" applyBorder="1"/>
    <xf numFmtId="165" fontId="3" fillId="0" borderId="6" xfId="0" applyNumberFormat="1" applyFont="1" applyBorder="1" applyAlignment="1">
      <alignment horizontal="center" vertical="center" wrapText="1"/>
    </xf>
    <xf numFmtId="0" fontId="7" fillId="0" borderId="0" xfId="0" applyFont="1" applyFill="1"/>
    <xf numFmtId="0" fontId="3" fillId="0" borderId="2" xfId="0" applyFont="1" applyFill="1" applyBorder="1" applyAlignment="1">
      <alignment horizontal="right"/>
    </xf>
    <xf numFmtId="49" fontId="3" fillId="0" borderId="1" xfId="0" applyNumberFormat="1" applyFont="1" applyFill="1" applyBorder="1" applyAlignment="1">
      <alignment horizontal="right"/>
    </xf>
    <xf numFmtId="0" fontId="3" fillId="0" borderId="1" xfId="0" applyFont="1" applyFill="1" applyBorder="1" applyAlignment="1">
      <alignment horizontal="right"/>
    </xf>
    <xf numFmtId="0" fontId="3" fillId="0" borderId="0" xfId="0" applyFont="1" applyFill="1" applyBorder="1" applyAlignment="1">
      <alignment horizontal="right"/>
    </xf>
    <xf numFmtId="0" fontId="5" fillId="0" borderId="0" xfId="0" applyFont="1" applyFill="1" applyAlignment="1">
      <alignment vertical="top"/>
    </xf>
    <xf numFmtId="0" fontId="5" fillId="0" borderId="0" xfId="0" applyFont="1" applyFill="1" applyBorder="1" applyAlignment="1">
      <alignment vertical="top" wrapText="1"/>
    </xf>
    <xf numFmtId="0" fontId="18" fillId="0" borderId="0" xfId="0" applyFont="1"/>
    <xf numFmtId="0" fontId="18" fillId="0" borderId="0" xfId="0" applyFont="1" applyAlignment="1">
      <alignment wrapText="1"/>
    </xf>
    <xf numFmtId="164" fontId="18" fillId="0" borderId="0" xfId="0" applyNumberFormat="1" applyFont="1" applyAlignment="1">
      <alignment wrapText="1"/>
    </xf>
    <xf numFmtId="166" fontId="22" fillId="0" borderId="0" xfId="0" quotePrefix="1" applyNumberFormat="1" applyFont="1" applyBorder="1" applyAlignment="1" applyProtection="1">
      <alignment horizontal="center" vertical="center" wrapText="1"/>
      <protection locked="0"/>
    </xf>
    <xf numFmtId="3" fontId="0" fillId="0" borderId="0" xfId="0" applyNumberFormat="1" applyBorder="1"/>
    <xf numFmtId="3" fontId="0" fillId="0" borderId="0" xfId="0" applyNumberFormat="1" applyFont="1" applyBorder="1"/>
    <xf numFmtId="164" fontId="0" fillId="0" borderId="0" xfId="0" applyNumberFormat="1" applyFont="1" applyAlignment="1">
      <alignment wrapText="1"/>
    </xf>
    <xf numFmtId="3" fontId="0" fillId="0" borderId="0" xfId="0" quotePrefix="1" applyNumberFormat="1" applyBorder="1" applyAlignment="1" applyProtection="1">
      <alignment horizontal="right"/>
      <protection locked="0"/>
    </xf>
    <xf numFmtId="0" fontId="0" fillId="0" borderId="0" xfId="0" applyFill="1" applyBorder="1"/>
    <xf numFmtId="3" fontId="0" fillId="0" borderId="0" xfId="0" quotePrefix="1" applyNumberFormat="1" applyFont="1" applyBorder="1" applyAlignment="1" applyProtection="1">
      <alignment horizontal="right"/>
      <protection locked="0"/>
    </xf>
    <xf numFmtId="3" fontId="0" fillId="0" borderId="0" xfId="1" applyNumberFormat="1" applyFont="1" applyBorder="1" applyAlignment="1" applyProtection="1">
      <alignment horizontal="right"/>
      <protection locked="0"/>
    </xf>
    <xf numFmtId="3" fontId="0" fillId="0" borderId="0" xfId="0" applyNumberFormat="1"/>
    <xf numFmtId="3" fontId="0" fillId="0" borderId="0" xfId="0" applyNumberFormat="1" applyFont="1" applyFill="1" applyBorder="1" applyAlignment="1" applyProtection="1">
      <alignment horizontal="right"/>
      <protection locked="0"/>
    </xf>
    <xf numFmtId="3" fontId="0" fillId="0" borderId="0" xfId="0" applyNumberFormat="1" applyFont="1"/>
    <xf numFmtId="167" fontId="18" fillId="0" borderId="0" xfId="0" applyNumberFormat="1" applyFont="1"/>
    <xf numFmtId="0" fontId="23" fillId="0" borderId="0" xfId="0" applyFont="1" applyAlignment="1">
      <alignment horizontal="right"/>
    </xf>
    <xf numFmtId="2" fontId="13" fillId="0" borderId="5" xfId="0" applyNumberFormat="1" applyFont="1" applyBorder="1" applyAlignment="1">
      <alignment horizontal="left" wrapText="1"/>
    </xf>
    <xf numFmtId="164" fontId="3" fillId="0" borderId="5" xfId="0" applyNumberFormat="1" applyFont="1" applyBorder="1" applyAlignment="1">
      <alignment horizontal="right"/>
    </xf>
    <xf numFmtId="0" fontId="3" fillId="0" borderId="5" xfId="0" applyFont="1" applyBorder="1" applyAlignment="1">
      <alignment horizontal="right"/>
    </xf>
    <xf numFmtId="2" fontId="9" fillId="0" borderId="1" xfId="0" applyNumberFormat="1" applyFont="1" applyBorder="1" applyAlignment="1">
      <alignment horizontal="left" wrapText="1"/>
    </xf>
    <xf numFmtId="0" fontId="4" fillId="0" borderId="1" xfId="0" applyFont="1" applyBorder="1" applyAlignment="1">
      <alignment horizontal="right"/>
    </xf>
    <xf numFmtId="0" fontId="13" fillId="0" borderId="3" xfId="0" applyFont="1" applyBorder="1"/>
    <xf numFmtId="0" fontId="3" fillId="0" borderId="1" xfId="0" applyFont="1" applyFill="1" applyBorder="1" applyAlignment="1">
      <alignment horizontal="right" vertical="center" wrapText="1"/>
    </xf>
    <xf numFmtId="0" fontId="3" fillId="0" borderId="1" xfId="0" applyFont="1" applyFill="1" applyBorder="1" applyAlignment="1">
      <alignment vertical="center" wrapText="1"/>
    </xf>
    <xf numFmtId="0" fontId="3" fillId="0" borderId="1" xfId="0" applyFont="1" applyFill="1" applyBorder="1"/>
    <xf numFmtId="3" fontId="3" fillId="0" borderId="1" xfId="0" applyNumberFormat="1" applyFont="1" applyFill="1" applyBorder="1"/>
    <xf numFmtId="0" fontId="4" fillId="0" borderId="1" xfId="0" applyFont="1" applyFill="1" applyBorder="1"/>
    <xf numFmtId="3" fontId="9" fillId="0" borderId="1" xfId="0" applyNumberFormat="1" applyFont="1" applyFill="1" applyBorder="1"/>
    <xf numFmtId="164" fontId="9" fillId="0" borderId="1" xfId="0" applyNumberFormat="1" applyFont="1" applyFill="1" applyBorder="1"/>
    <xf numFmtId="164" fontId="9" fillId="0" borderId="1" xfId="0" applyNumberFormat="1" applyFont="1" applyBorder="1"/>
    <xf numFmtId="0" fontId="5" fillId="0" borderId="0" xfId="0" applyFont="1" applyFill="1" applyAlignment="1">
      <alignment horizontal="left" vertical="center" indent="1"/>
    </xf>
    <xf numFmtId="168" fontId="0" fillId="0" borderId="0" xfId="0" applyNumberFormat="1"/>
    <xf numFmtId="168" fontId="0" fillId="0" borderId="0" xfId="0" applyNumberFormat="1" applyBorder="1"/>
    <xf numFmtId="3" fontId="3" fillId="0" borderId="1" xfId="0" applyNumberFormat="1" applyFont="1" applyBorder="1" applyAlignment="1">
      <alignment horizontal="center"/>
    </xf>
    <xf numFmtId="0" fontId="3" fillId="0" borderId="0" xfId="0" applyFont="1" applyBorder="1" applyAlignment="1">
      <alignment horizontal="center" wrapText="1"/>
    </xf>
    <xf numFmtId="164" fontId="3" fillId="0" borderId="0" xfId="0" applyNumberFormat="1" applyFont="1" applyBorder="1" applyAlignment="1">
      <alignment horizontal="center" vertical="center" wrapText="1"/>
    </xf>
    <xf numFmtId="164" fontId="4" fillId="0" borderId="0" xfId="0" applyNumberFormat="1" applyFont="1" applyBorder="1"/>
    <xf numFmtId="0" fontId="3" fillId="0" borderId="0" xfId="0" applyFont="1" applyBorder="1" applyAlignment="1">
      <alignment vertical="center" wrapText="1"/>
    </xf>
    <xf numFmtId="0" fontId="17" fillId="0" borderId="0" xfId="0" applyFont="1" applyBorder="1" applyAlignment="1">
      <alignment horizontal="center" vertical="center" wrapText="1"/>
    </xf>
    <xf numFmtId="165" fontId="3" fillId="0" borderId="0" xfId="0" applyNumberFormat="1" applyFont="1" applyBorder="1" applyAlignment="1">
      <alignment horizontal="center" vertical="center" wrapText="1"/>
    </xf>
    <xf numFmtId="165" fontId="4" fillId="0" borderId="0" xfId="0" applyNumberFormat="1" applyFont="1" applyBorder="1"/>
    <xf numFmtId="0" fontId="16" fillId="0" borderId="0" xfId="0" applyFont="1" applyFill="1" applyBorder="1" applyAlignment="1">
      <alignment vertical="center"/>
    </xf>
    <xf numFmtId="3" fontId="3" fillId="0" borderId="0" xfId="0" applyNumberFormat="1" applyFont="1" applyBorder="1" applyAlignment="1">
      <alignment horizontal="center"/>
    </xf>
    <xf numFmtId="0" fontId="24" fillId="2" borderId="0" xfId="0" applyFont="1" applyFill="1" applyBorder="1" applyAlignment="1">
      <alignment horizontal="left"/>
    </xf>
    <xf numFmtId="0" fontId="5" fillId="2" borderId="0" xfId="0" applyFont="1" applyFill="1" applyBorder="1" applyAlignment="1">
      <alignment horizontal="left"/>
    </xf>
    <xf numFmtId="0" fontId="14" fillId="0" borderId="0" xfId="0" applyFont="1"/>
    <xf numFmtId="3" fontId="14" fillId="0" borderId="0" xfId="0" applyNumberFormat="1" applyFont="1"/>
    <xf numFmtId="2" fontId="0" fillId="0" borderId="0" xfId="0" applyNumberFormat="1" applyAlignment="1">
      <alignment wrapText="1"/>
    </xf>
    <xf numFmtId="164" fontId="3" fillId="0" borderId="0" xfId="0" applyNumberFormat="1" applyFont="1" applyFill="1"/>
    <xf numFmtId="0" fontId="23" fillId="0" borderId="0" xfId="0" applyFont="1" applyFill="1"/>
    <xf numFmtId="3" fontId="0" fillId="0" borderId="0" xfId="0" applyNumberFormat="1" applyFill="1"/>
    <xf numFmtId="0" fontId="14" fillId="0" borderId="0" xfId="0" applyFont="1" applyFill="1"/>
    <xf numFmtId="3" fontId="3" fillId="0" borderId="1" xfId="0" applyNumberFormat="1" applyFont="1" applyFill="1" applyBorder="1" applyAlignment="1">
      <alignment horizontal="right" vertical="center" wrapText="1"/>
    </xf>
    <xf numFmtId="164" fontId="3" fillId="0" borderId="1" xfId="0" applyNumberFormat="1" applyFont="1" applyFill="1" applyBorder="1" applyAlignment="1">
      <alignment horizontal="right" vertical="center" wrapText="1"/>
    </xf>
    <xf numFmtId="0" fontId="3" fillId="0" borderId="1" xfId="0" applyFont="1" applyBorder="1" applyAlignment="1">
      <alignment horizontal="right"/>
    </xf>
    <xf numFmtId="164" fontId="3" fillId="0" borderId="0" xfId="0" applyNumberFormat="1" applyFont="1"/>
    <xf numFmtId="164" fontId="13" fillId="0" borderId="0" xfId="0" applyNumberFormat="1" applyFont="1"/>
    <xf numFmtId="165" fontId="3" fillId="0" borderId="0" xfId="0" applyNumberFormat="1" applyFont="1" applyFill="1" applyBorder="1" applyAlignment="1">
      <alignment vertical="center" wrapText="1"/>
    </xf>
    <xf numFmtId="3" fontId="17" fillId="0" borderId="1" xfId="0" applyNumberFormat="1" applyFont="1" applyBorder="1" applyAlignment="1">
      <alignment vertical="center" wrapText="1"/>
    </xf>
    <xf numFmtId="3" fontId="3" fillId="0" borderId="1" xfId="0" applyNumberFormat="1" applyFont="1" applyBorder="1" applyAlignment="1">
      <alignment vertical="center" wrapText="1"/>
    </xf>
    <xf numFmtId="3" fontId="25" fillId="0" borderId="1" xfId="0" applyNumberFormat="1" applyFont="1" applyFill="1" applyBorder="1" applyAlignment="1">
      <alignment vertical="top" wrapText="1"/>
    </xf>
    <xf numFmtId="3" fontId="4" fillId="0" borderId="1" xfId="0" applyNumberFormat="1" applyFont="1" applyFill="1" applyBorder="1" applyAlignment="1">
      <alignment vertical="top" wrapText="1"/>
    </xf>
    <xf numFmtId="164" fontId="3" fillId="0" borderId="4" xfId="0" applyNumberFormat="1" applyFont="1" applyBorder="1" applyAlignment="1">
      <alignment horizontal="center" vertical="center" wrapText="1"/>
    </xf>
    <xf numFmtId="10" fontId="3" fillId="0" borderId="3" xfId="0" applyNumberFormat="1" applyFont="1" applyFill="1" applyBorder="1" applyAlignment="1">
      <alignment vertical="center" wrapText="1"/>
    </xf>
  </cellXfs>
  <cellStyles count="3">
    <cellStyle name="Normal" xfId="0" builtinId="0"/>
    <cellStyle name="Normal 2" xfId="1"/>
    <cellStyle name="Normal 4 2"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O16"/>
  <sheetViews>
    <sheetView tabSelected="1" workbookViewId="0">
      <selection activeCell="B10" sqref="B10"/>
    </sheetView>
  </sheetViews>
  <sheetFormatPr defaultRowHeight="15" x14ac:dyDescent="0.25"/>
  <cols>
    <col min="1" max="1" width="35.140625" customWidth="1"/>
    <col min="2" max="2" width="120.28515625" customWidth="1"/>
  </cols>
  <sheetData>
    <row r="1" spans="1:15" ht="15.75" x14ac:dyDescent="0.25">
      <c r="A1" s="34" t="s">
        <v>127</v>
      </c>
      <c r="B1" s="34" t="s">
        <v>126</v>
      </c>
      <c r="C1" s="9"/>
      <c r="D1" s="9"/>
      <c r="E1" s="9"/>
      <c r="F1" s="9"/>
      <c r="G1" s="9"/>
      <c r="H1" s="9"/>
      <c r="I1" s="9"/>
      <c r="J1" s="9"/>
      <c r="K1" s="9"/>
      <c r="L1" s="9"/>
      <c r="M1" s="9"/>
      <c r="N1" s="9"/>
      <c r="O1" s="9"/>
    </row>
    <row r="2" spans="1:15" s="42" customFormat="1" ht="15.75" x14ac:dyDescent="0.25">
      <c r="A2" s="86" t="s">
        <v>178</v>
      </c>
      <c r="B2" s="87" t="s">
        <v>185</v>
      </c>
      <c r="C2" s="86"/>
      <c r="D2" s="86"/>
      <c r="E2" s="86"/>
      <c r="F2" s="86"/>
      <c r="G2" s="86"/>
      <c r="H2" s="86"/>
      <c r="I2" s="86"/>
      <c r="J2" s="86"/>
      <c r="K2" s="86"/>
      <c r="L2" s="86"/>
      <c r="M2" s="86"/>
      <c r="N2" s="86"/>
      <c r="O2" s="86"/>
    </row>
    <row r="3" spans="1:15" s="42" customFormat="1" ht="15.75" x14ac:dyDescent="0.25">
      <c r="A3" s="86" t="s">
        <v>179</v>
      </c>
      <c r="B3" s="87" t="s">
        <v>186</v>
      </c>
      <c r="C3" s="86"/>
      <c r="D3" s="86"/>
      <c r="E3" s="86"/>
      <c r="F3" s="86"/>
      <c r="G3" s="86"/>
      <c r="H3" s="86"/>
      <c r="I3" s="86"/>
      <c r="J3" s="86"/>
      <c r="K3" s="86"/>
      <c r="L3" s="86"/>
      <c r="M3" s="86"/>
      <c r="N3" s="86"/>
      <c r="O3" s="86"/>
    </row>
    <row r="4" spans="1:15" s="42" customFormat="1" ht="15.75" x14ac:dyDescent="0.25">
      <c r="A4" s="86" t="s">
        <v>180</v>
      </c>
      <c r="B4" s="87" t="s">
        <v>187</v>
      </c>
      <c r="C4" s="86"/>
      <c r="D4" s="86"/>
      <c r="E4" s="86"/>
      <c r="F4" s="86"/>
      <c r="G4" s="86"/>
      <c r="H4" s="86"/>
      <c r="I4" s="86"/>
      <c r="J4" s="86"/>
      <c r="K4" s="86"/>
      <c r="L4" s="86"/>
      <c r="M4" s="86"/>
      <c r="N4" s="86"/>
      <c r="O4" s="86"/>
    </row>
    <row r="5" spans="1:15" s="42" customFormat="1" ht="15.75" x14ac:dyDescent="0.25">
      <c r="A5" s="86" t="s">
        <v>181</v>
      </c>
      <c r="B5" s="87" t="s">
        <v>188</v>
      </c>
      <c r="C5" s="86"/>
      <c r="D5" s="86"/>
      <c r="E5" s="86"/>
      <c r="F5" s="86"/>
      <c r="G5" s="86"/>
      <c r="H5" s="86"/>
      <c r="I5" s="86"/>
      <c r="J5" s="86"/>
      <c r="K5" s="86"/>
      <c r="L5" s="86"/>
      <c r="M5" s="86"/>
      <c r="N5" s="86"/>
      <c r="O5" s="86"/>
    </row>
    <row r="6" spans="1:15" s="42" customFormat="1" ht="31.5" x14ac:dyDescent="0.25">
      <c r="A6" s="86" t="s">
        <v>182</v>
      </c>
      <c r="B6" s="87" t="s">
        <v>246</v>
      </c>
      <c r="C6" s="86"/>
      <c r="D6" s="86"/>
      <c r="E6" s="86"/>
      <c r="F6" s="86"/>
      <c r="G6" s="86"/>
      <c r="H6" s="86"/>
      <c r="I6" s="86"/>
      <c r="J6" s="86"/>
      <c r="K6" s="86"/>
      <c r="L6" s="86"/>
      <c r="M6" s="86"/>
      <c r="N6" s="86"/>
      <c r="O6" s="86"/>
    </row>
    <row r="7" spans="1:15" s="42" customFormat="1" ht="47.25" x14ac:dyDescent="0.25">
      <c r="A7" s="86" t="s">
        <v>236</v>
      </c>
      <c r="B7" s="87" t="s">
        <v>247</v>
      </c>
      <c r="C7" s="86"/>
      <c r="D7" s="86"/>
      <c r="E7" s="86"/>
      <c r="F7" s="86"/>
      <c r="G7" s="86"/>
      <c r="H7" s="86"/>
      <c r="I7" s="86"/>
      <c r="J7" s="86"/>
      <c r="K7" s="86"/>
      <c r="L7" s="86"/>
      <c r="M7" s="86"/>
      <c r="N7" s="86"/>
      <c r="O7" s="86"/>
    </row>
    <row r="8" spans="1:15" s="42" customFormat="1" ht="47.25" x14ac:dyDescent="0.25">
      <c r="A8" s="86" t="s">
        <v>237</v>
      </c>
      <c r="B8" s="87" t="s">
        <v>248</v>
      </c>
      <c r="C8" s="86"/>
      <c r="D8" s="86"/>
      <c r="E8" s="86"/>
      <c r="F8" s="86"/>
      <c r="G8" s="86"/>
      <c r="H8" s="86"/>
      <c r="I8" s="86"/>
      <c r="J8" s="86"/>
      <c r="K8" s="86"/>
      <c r="L8" s="86"/>
      <c r="M8" s="86"/>
      <c r="N8" s="86"/>
      <c r="O8" s="86"/>
    </row>
    <row r="9" spans="1:15" s="42" customFormat="1" ht="15.75" x14ac:dyDescent="0.25">
      <c r="A9" s="86" t="s">
        <v>183</v>
      </c>
      <c r="B9" s="87" t="s">
        <v>189</v>
      </c>
      <c r="C9" s="86"/>
      <c r="D9" s="86"/>
      <c r="E9" s="86"/>
      <c r="F9" s="86"/>
      <c r="G9" s="86"/>
      <c r="H9" s="86"/>
      <c r="I9" s="86"/>
      <c r="J9" s="86"/>
      <c r="K9" s="86"/>
      <c r="L9" s="86"/>
      <c r="M9" s="86"/>
      <c r="N9" s="86"/>
      <c r="O9" s="86"/>
    </row>
    <row r="10" spans="1:15" s="42" customFormat="1" ht="15.75" x14ac:dyDescent="0.25">
      <c r="A10" s="86" t="s">
        <v>184</v>
      </c>
      <c r="B10" s="87" t="s">
        <v>190</v>
      </c>
      <c r="C10" s="86"/>
      <c r="D10" s="86"/>
      <c r="E10" s="86"/>
      <c r="F10" s="86"/>
      <c r="G10" s="86"/>
      <c r="H10" s="86"/>
      <c r="I10" s="86"/>
      <c r="J10" s="86"/>
      <c r="K10" s="86"/>
      <c r="L10" s="86"/>
      <c r="M10" s="86"/>
      <c r="N10" s="86"/>
      <c r="O10" s="86"/>
    </row>
    <row r="11" spans="1:15" s="42" customFormat="1" ht="15.75" x14ac:dyDescent="0.25">
      <c r="A11" s="86"/>
      <c r="B11" s="87"/>
      <c r="C11" s="86"/>
      <c r="D11" s="86"/>
      <c r="E11" s="86"/>
      <c r="F11" s="86"/>
      <c r="G11" s="86"/>
      <c r="H11" s="86"/>
      <c r="I11" s="86"/>
      <c r="J11" s="86"/>
      <c r="K11" s="86"/>
      <c r="L11" s="86"/>
      <c r="M11" s="86"/>
      <c r="N11" s="86"/>
      <c r="O11" s="86"/>
    </row>
    <row r="12" spans="1:15" s="42" customFormat="1" ht="15.75" x14ac:dyDescent="0.25">
      <c r="A12" s="86"/>
      <c r="B12" s="86"/>
      <c r="C12" s="86"/>
      <c r="D12" s="86"/>
      <c r="E12" s="86"/>
      <c r="F12" s="86"/>
      <c r="G12" s="86"/>
      <c r="H12" s="86"/>
      <c r="I12" s="86"/>
      <c r="J12" s="86"/>
      <c r="K12" s="86"/>
      <c r="L12" s="86"/>
      <c r="M12" s="86"/>
      <c r="N12" s="86"/>
      <c r="O12" s="86"/>
    </row>
    <row r="13" spans="1:15" s="42" customFormat="1" ht="15.75" x14ac:dyDescent="0.25">
      <c r="A13" s="86"/>
      <c r="B13" s="86"/>
      <c r="C13" s="86"/>
      <c r="D13" s="86"/>
      <c r="E13" s="86"/>
      <c r="F13" s="86"/>
      <c r="G13" s="86"/>
      <c r="H13" s="86"/>
      <c r="I13" s="86"/>
      <c r="J13" s="86"/>
      <c r="K13" s="86"/>
      <c r="L13" s="86"/>
      <c r="M13" s="86"/>
      <c r="N13" s="86"/>
      <c r="O13" s="86"/>
    </row>
    <row r="14" spans="1:15" ht="15.75" x14ac:dyDescent="0.25">
      <c r="A14" s="9"/>
      <c r="B14" s="9"/>
      <c r="C14" s="9"/>
      <c r="D14" s="9"/>
      <c r="E14" s="9"/>
      <c r="F14" s="9"/>
      <c r="G14" s="9"/>
      <c r="H14" s="9"/>
      <c r="I14" s="9"/>
      <c r="J14" s="9"/>
      <c r="K14" s="9"/>
      <c r="L14" s="9"/>
      <c r="M14" s="9"/>
      <c r="N14" s="9"/>
      <c r="O14" s="9"/>
    </row>
    <row r="15" spans="1:15" ht="15.75" x14ac:dyDescent="0.25">
      <c r="A15" s="9"/>
      <c r="B15" s="9"/>
      <c r="C15" s="9"/>
      <c r="D15" s="9"/>
      <c r="E15" s="9"/>
      <c r="F15" s="9"/>
      <c r="G15" s="9"/>
      <c r="H15" s="9"/>
      <c r="I15" s="9"/>
      <c r="J15" s="9"/>
      <c r="K15" s="9"/>
      <c r="L15" s="9"/>
      <c r="M15" s="9"/>
      <c r="N15" s="9"/>
      <c r="O15" s="9"/>
    </row>
    <row r="16" spans="1:15" ht="15.75" x14ac:dyDescent="0.25">
      <c r="A16" s="9"/>
      <c r="B16" s="9"/>
      <c r="C16" s="9"/>
      <c r="D16" s="9"/>
      <c r="E16" s="9"/>
      <c r="F16" s="9"/>
      <c r="G16" s="9"/>
      <c r="H16" s="9"/>
      <c r="I16" s="9"/>
      <c r="J16" s="9"/>
      <c r="K16" s="9"/>
      <c r="L16" s="9"/>
      <c r="M16" s="9"/>
      <c r="N16" s="9"/>
      <c r="O16" s="9"/>
    </row>
  </sheetData>
  <printOptions gridLines="1"/>
  <pageMargins left="0.7" right="0.7" top="0.75" bottom="0.75" header="0.3" footer="0.3"/>
  <pageSetup paperSize="5"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A2:M24"/>
  <sheetViews>
    <sheetView workbookViewId="0">
      <selection activeCell="E24" sqref="E24"/>
    </sheetView>
  </sheetViews>
  <sheetFormatPr defaultRowHeight="15" x14ac:dyDescent="0.25"/>
  <cols>
    <col min="1" max="1" width="12.5703125" customWidth="1"/>
    <col min="2" max="2" width="12.7109375" customWidth="1"/>
    <col min="3" max="3" width="6.140625" customWidth="1"/>
    <col min="4" max="4" width="3.7109375" customWidth="1"/>
    <col min="5" max="5" width="13.140625" customWidth="1"/>
    <col min="6" max="6" width="16.140625" customWidth="1"/>
    <col min="9" max="9" width="17.5703125" customWidth="1"/>
    <col min="10" max="10" width="14.85546875" customWidth="1"/>
    <col min="11" max="11" width="15.85546875" customWidth="1"/>
  </cols>
  <sheetData>
    <row r="2" spans="1:13" ht="15.75" x14ac:dyDescent="0.25">
      <c r="A2" s="8" t="s">
        <v>192</v>
      </c>
      <c r="E2" s="92" t="s">
        <v>196</v>
      </c>
      <c r="F2" s="42"/>
      <c r="G2" s="42"/>
      <c r="H2" s="42"/>
      <c r="I2" s="42"/>
      <c r="J2" s="92" t="s">
        <v>197</v>
      </c>
      <c r="K2" s="42"/>
      <c r="L2" s="42"/>
      <c r="M2" s="42"/>
    </row>
    <row r="3" spans="1:13" ht="66" customHeight="1" x14ac:dyDescent="0.25">
      <c r="A3" s="6" t="s">
        <v>25</v>
      </c>
      <c r="B3" s="6" t="s">
        <v>193</v>
      </c>
      <c r="E3" s="78" t="s">
        <v>25</v>
      </c>
      <c r="F3" s="78" t="s">
        <v>194</v>
      </c>
      <c r="G3" s="42"/>
      <c r="H3" s="42"/>
      <c r="I3" s="42"/>
      <c r="J3" s="78" t="s">
        <v>25</v>
      </c>
      <c r="K3" s="78" t="s">
        <v>195</v>
      </c>
      <c r="L3" s="42"/>
    </row>
    <row r="4" spans="1:13" x14ac:dyDescent="0.25">
      <c r="A4" s="17" t="s">
        <v>22</v>
      </c>
      <c r="B4" s="89">
        <v>4.0990606319385146</v>
      </c>
      <c r="C4" s="80"/>
      <c r="E4" s="93" t="s">
        <v>22</v>
      </c>
      <c r="F4" s="21">
        <v>7.2331847816165364</v>
      </c>
      <c r="G4" s="42"/>
      <c r="H4" s="42"/>
      <c r="I4" s="42"/>
      <c r="J4" s="93" t="s">
        <v>22</v>
      </c>
      <c r="K4" s="21">
        <v>0.66550636908292105</v>
      </c>
      <c r="L4" s="42"/>
    </row>
    <row r="5" spans="1:13" x14ac:dyDescent="0.25">
      <c r="A5" s="18" t="s">
        <v>23</v>
      </c>
      <c r="B5" s="89">
        <v>2.7896384856248222</v>
      </c>
      <c r="C5" s="80"/>
      <c r="E5" s="94" t="s">
        <v>23</v>
      </c>
      <c r="F5" s="21">
        <v>4.7997148031451227</v>
      </c>
      <c r="G5" s="42"/>
      <c r="H5" s="42"/>
      <c r="I5" s="42"/>
      <c r="J5" s="94" t="s">
        <v>23</v>
      </c>
      <c r="K5" s="21">
        <v>0.4416091760012773</v>
      </c>
      <c r="L5" s="42"/>
    </row>
    <row r="6" spans="1:13" x14ac:dyDescent="0.25">
      <c r="A6" s="18" t="s">
        <v>24</v>
      </c>
      <c r="B6" s="89">
        <v>1.9072018218047253</v>
      </c>
      <c r="C6" s="80"/>
      <c r="E6" s="94" t="s">
        <v>24</v>
      </c>
      <c r="F6" s="21">
        <v>3.2499872758523476</v>
      </c>
      <c r="G6" s="42"/>
      <c r="H6" s="42"/>
      <c r="I6" s="42"/>
      <c r="J6" s="94" t="s">
        <v>24</v>
      </c>
      <c r="K6" s="21">
        <v>0.2990228090142622</v>
      </c>
      <c r="L6" s="42"/>
    </row>
    <row r="7" spans="1:13" x14ac:dyDescent="0.25">
      <c r="A7" s="19" t="s">
        <v>8</v>
      </c>
      <c r="B7" s="89">
        <v>1.5371477369769428</v>
      </c>
      <c r="C7" s="80"/>
      <c r="E7" s="95" t="s">
        <v>8</v>
      </c>
      <c r="F7" s="21">
        <v>2.5544778986916192</v>
      </c>
      <c r="G7" s="42"/>
      <c r="H7" s="42"/>
      <c r="I7" s="42"/>
      <c r="J7" s="95" t="s">
        <v>8</v>
      </c>
      <c r="K7" s="21">
        <v>0.23503081458412478</v>
      </c>
      <c r="L7" s="42"/>
    </row>
    <row r="8" spans="1:13" x14ac:dyDescent="0.25">
      <c r="A8" s="19" t="s">
        <v>9</v>
      </c>
      <c r="B8" s="89">
        <v>2.5619128949615715</v>
      </c>
      <c r="C8" s="80"/>
      <c r="E8" s="95" t="s">
        <v>9</v>
      </c>
      <c r="F8" s="21">
        <v>4.0230158130224112</v>
      </c>
      <c r="G8" s="42"/>
      <c r="H8" s="42"/>
      <c r="I8" s="42"/>
      <c r="J8" s="95" t="s">
        <v>9</v>
      </c>
      <c r="K8" s="21">
        <v>0.37014713813095257</v>
      </c>
      <c r="L8" s="42"/>
    </row>
    <row r="9" spans="1:13" x14ac:dyDescent="0.25">
      <c r="A9" s="19" t="s">
        <v>10</v>
      </c>
      <c r="B9" s="89">
        <v>3.4443495587816684</v>
      </c>
      <c r="C9" s="80"/>
      <c r="E9" s="95" t="s">
        <v>10</v>
      </c>
      <c r="F9" s="21">
        <v>5.279605220886185</v>
      </c>
      <c r="G9" s="42"/>
      <c r="H9" s="42"/>
      <c r="I9" s="42"/>
      <c r="J9" s="95" t="s">
        <v>10</v>
      </c>
      <c r="K9" s="21">
        <v>0.48576263524653729</v>
      </c>
      <c r="L9" s="42"/>
    </row>
    <row r="10" spans="1:13" x14ac:dyDescent="0.25">
      <c r="A10" s="19" t="s">
        <v>11</v>
      </c>
      <c r="B10" s="89">
        <v>3.5297466552803871</v>
      </c>
      <c r="C10" s="80"/>
      <c r="E10" s="95" t="s">
        <v>11</v>
      </c>
      <c r="F10" s="21">
        <v>5.6804981623791306</v>
      </c>
      <c r="G10" s="42"/>
      <c r="H10" s="42"/>
      <c r="I10" s="42"/>
      <c r="J10" s="95" t="s">
        <v>11</v>
      </c>
      <c r="K10" s="21">
        <v>0.52264774380369983</v>
      </c>
      <c r="L10" s="42"/>
    </row>
    <row r="11" spans="1:13" x14ac:dyDescent="0.25">
      <c r="A11" s="19" t="s">
        <v>12</v>
      </c>
      <c r="B11" s="89">
        <v>4.1844577284372333</v>
      </c>
      <c r="C11" s="80"/>
      <c r="E11" s="95" t="s">
        <v>12</v>
      </c>
      <c r="F11" s="21">
        <v>7.0647796451919538</v>
      </c>
      <c r="G11" s="42"/>
      <c r="H11" s="42"/>
      <c r="I11" s="42"/>
      <c r="J11" s="95" t="s">
        <v>12</v>
      </c>
      <c r="K11" s="21">
        <v>0.65001185397504202</v>
      </c>
      <c r="L11" s="42"/>
    </row>
    <row r="12" spans="1:13" x14ac:dyDescent="0.25">
      <c r="A12" s="19" t="s">
        <v>13</v>
      </c>
      <c r="B12" s="89">
        <v>4.6399089097637347</v>
      </c>
      <c r="C12" s="80"/>
      <c r="E12" s="95" t="s">
        <v>13</v>
      </c>
      <c r="F12" s="21">
        <v>8.2652102384375326</v>
      </c>
      <c r="G12" s="42"/>
      <c r="H12" s="42"/>
      <c r="I12" s="42"/>
      <c r="J12" s="95" t="s">
        <v>13</v>
      </c>
      <c r="K12" s="21">
        <v>0.76046032578476919</v>
      </c>
      <c r="L12" s="42"/>
    </row>
    <row r="13" spans="1:13" x14ac:dyDescent="0.25">
      <c r="A13" s="19" t="s">
        <v>14</v>
      </c>
      <c r="B13" s="89">
        <v>5.4938798747509257</v>
      </c>
      <c r="C13" s="80"/>
      <c r="E13" s="95" t="s">
        <v>14</v>
      </c>
      <c r="F13" s="21">
        <v>9.2099031105510054</v>
      </c>
      <c r="G13" s="42"/>
      <c r="H13" s="42"/>
      <c r="I13" s="42"/>
      <c r="J13" s="95" t="s">
        <v>14</v>
      </c>
      <c r="K13" s="21">
        <v>0.84737904032067057</v>
      </c>
      <c r="L13" s="42"/>
    </row>
    <row r="14" spans="1:13" x14ac:dyDescent="0.25">
      <c r="A14" s="19" t="s">
        <v>15</v>
      </c>
      <c r="B14" s="89">
        <v>7.116424708226587</v>
      </c>
      <c r="C14" s="80"/>
      <c r="E14" s="95" t="s">
        <v>15</v>
      </c>
      <c r="F14" s="21">
        <v>11.447412821109529</v>
      </c>
      <c r="G14" s="42"/>
      <c r="H14" s="42"/>
      <c r="I14" s="42"/>
      <c r="J14" s="95" t="s">
        <v>15</v>
      </c>
      <c r="K14" s="21">
        <v>1.0532464428853245</v>
      </c>
      <c r="L14" s="42"/>
    </row>
    <row r="15" spans="1:13" x14ac:dyDescent="0.25">
      <c r="A15" s="19" t="s">
        <v>16</v>
      </c>
      <c r="B15" s="89">
        <v>10.560774267008256</v>
      </c>
      <c r="C15" s="80"/>
      <c r="E15" s="95" t="s">
        <v>16</v>
      </c>
      <c r="F15" s="21">
        <v>16.882972403329489</v>
      </c>
      <c r="G15" s="42"/>
      <c r="H15" s="42"/>
      <c r="I15" s="42"/>
      <c r="J15" s="95" t="s">
        <v>16</v>
      </c>
      <c r="K15" s="21">
        <v>1.5533580300648568</v>
      </c>
      <c r="L15" s="42"/>
    </row>
    <row r="16" spans="1:13" x14ac:dyDescent="0.25">
      <c r="A16" s="19" t="s">
        <v>17</v>
      </c>
      <c r="B16" s="89">
        <v>10.7600341588386</v>
      </c>
      <c r="C16" s="80"/>
      <c r="E16" s="95" t="s">
        <v>17</v>
      </c>
      <c r="F16" s="21">
        <v>19.404718793888549</v>
      </c>
      <c r="G16" s="42"/>
      <c r="H16" s="42"/>
      <c r="I16" s="42"/>
      <c r="J16" s="95" t="s">
        <v>17</v>
      </c>
      <c r="K16" s="21">
        <v>1.7853773043953343</v>
      </c>
      <c r="L16" s="42"/>
    </row>
    <row r="17" spans="1:12" x14ac:dyDescent="0.25">
      <c r="A17" s="19" t="s">
        <v>18</v>
      </c>
      <c r="B17" s="89">
        <v>9.5644748078565325</v>
      </c>
      <c r="C17" s="80"/>
      <c r="E17" s="95" t="s">
        <v>18</v>
      </c>
      <c r="F17" s="21">
        <v>19.976245922643166</v>
      </c>
      <c r="G17" s="42"/>
      <c r="H17" s="42"/>
      <c r="I17" s="42"/>
      <c r="J17" s="95" t="s">
        <v>18</v>
      </c>
      <c r="K17" s="21">
        <v>1.8379620171841684</v>
      </c>
      <c r="L17" s="42"/>
    </row>
    <row r="18" spans="1:12" x14ac:dyDescent="0.25">
      <c r="A18" s="19" t="s">
        <v>19</v>
      </c>
      <c r="B18" s="89">
        <v>8.255052661542841</v>
      </c>
      <c r="C18" s="80"/>
      <c r="E18" s="95" t="s">
        <v>19</v>
      </c>
      <c r="F18" s="21">
        <v>24.55602587419903</v>
      </c>
      <c r="G18" s="42"/>
      <c r="H18" s="42"/>
      <c r="I18" s="42"/>
      <c r="J18" s="95" t="s">
        <v>19</v>
      </c>
      <c r="K18" s="21">
        <v>2.2593355640766801</v>
      </c>
      <c r="L18" s="42"/>
    </row>
    <row r="19" spans="1:12" x14ac:dyDescent="0.25">
      <c r="A19" s="19" t="s">
        <v>20</v>
      </c>
      <c r="B19" s="89">
        <v>7.71420438371762</v>
      </c>
      <c r="C19" s="80"/>
      <c r="E19" s="95" t="s">
        <v>20</v>
      </c>
      <c r="F19" s="21">
        <v>32.377578100813018</v>
      </c>
      <c r="G19" s="42"/>
      <c r="H19" s="42"/>
      <c r="I19" s="42"/>
      <c r="J19" s="95" t="s">
        <v>20</v>
      </c>
      <c r="K19" s="21">
        <v>2.9789760792970017</v>
      </c>
      <c r="L19" s="42"/>
    </row>
    <row r="20" spans="1:12" x14ac:dyDescent="0.25">
      <c r="A20" s="19" t="s">
        <v>21</v>
      </c>
      <c r="B20" s="89">
        <v>5.0668943922573293</v>
      </c>
      <c r="C20" s="80"/>
      <c r="E20" s="95" t="s">
        <v>21</v>
      </c>
      <c r="F20" s="21">
        <v>30.342530331287367</v>
      </c>
      <c r="G20" s="42"/>
      <c r="H20" s="42"/>
      <c r="I20" s="42"/>
      <c r="J20" s="95" t="s">
        <v>21</v>
      </c>
      <c r="K20" s="21">
        <v>2.7917366691481802</v>
      </c>
      <c r="L20" s="42"/>
    </row>
    <row r="21" spans="1:12" x14ac:dyDescent="0.25">
      <c r="A21" s="19" t="s">
        <v>29</v>
      </c>
      <c r="B21" s="89">
        <v>6.7748363222317103</v>
      </c>
      <c r="C21" s="80"/>
      <c r="E21" s="95" t="s">
        <v>29</v>
      </c>
      <c r="F21" s="21">
        <v>37.314335065756453</v>
      </c>
      <c r="G21" s="42"/>
      <c r="H21" s="42"/>
      <c r="I21" s="42"/>
      <c r="J21" s="95" t="s">
        <v>29</v>
      </c>
      <c r="K21" s="21">
        <v>3.4331941453326471</v>
      </c>
      <c r="L21" s="42"/>
    </row>
    <row r="22" spans="1:12" x14ac:dyDescent="0.25">
      <c r="A22" s="19" t="s">
        <v>152</v>
      </c>
      <c r="B22" s="89">
        <f>SUM(B4:B21)</f>
        <v>100</v>
      </c>
      <c r="C22" s="80"/>
      <c r="E22" s="96"/>
      <c r="F22" s="41"/>
      <c r="G22" s="42"/>
      <c r="H22" s="42"/>
      <c r="I22" s="42"/>
      <c r="J22" s="96"/>
      <c r="K22" s="41"/>
      <c r="L22" s="42"/>
    </row>
    <row r="23" spans="1:12" x14ac:dyDescent="0.25">
      <c r="A23" s="15" t="s">
        <v>175</v>
      </c>
      <c r="E23" s="97" t="s">
        <v>176</v>
      </c>
      <c r="F23" s="42"/>
      <c r="G23" s="42"/>
      <c r="H23" s="42"/>
      <c r="I23" s="42"/>
      <c r="J23" s="97" t="s">
        <v>176</v>
      </c>
      <c r="K23" s="42"/>
      <c r="L23" s="42"/>
    </row>
    <row r="24" spans="1:12" ht="199.5" customHeight="1" x14ac:dyDescent="0.25">
      <c r="A24" s="3" t="s">
        <v>28</v>
      </c>
      <c r="E24" s="98" t="s">
        <v>191</v>
      </c>
      <c r="F24" s="42"/>
      <c r="G24" s="42"/>
      <c r="H24" s="42"/>
      <c r="I24" s="42"/>
      <c r="J24" s="98" t="s">
        <v>166</v>
      </c>
      <c r="K24" s="42"/>
      <c r="L24" s="42"/>
    </row>
  </sheetData>
  <pageMargins left="0.7" right="0.7" top="0.75" bottom="0.75" header="0.3" footer="0.3"/>
  <pageSetup paperSize="5"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2:I32"/>
  <sheetViews>
    <sheetView topLeftCell="A9" workbookViewId="0">
      <selection activeCell="N21" sqref="N21"/>
    </sheetView>
  </sheetViews>
  <sheetFormatPr defaultRowHeight="15" x14ac:dyDescent="0.25"/>
  <cols>
    <col min="1" max="1" width="11.85546875" customWidth="1"/>
    <col min="2" max="2" width="12.28515625" customWidth="1"/>
    <col min="3" max="3" width="12.5703125" customWidth="1"/>
    <col min="6" max="6" width="12.7109375" customWidth="1"/>
    <col min="7" max="7" width="11.85546875" customWidth="1"/>
    <col min="8" max="8" width="12.42578125" customWidth="1"/>
    <col min="9" max="9" width="13.28515625" customWidth="1"/>
    <col min="11" max="11" width="5" customWidth="1"/>
  </cols>
  <sheetData>
    <row r="2" spans="1:9" ht="15.75" x14ac:dyDescent="0.25">
      <c r="A2" s="8" t="s">
        <v>198</v>
      </c>
      <c r="G2" s="144"/>
      <c r="H2" s="145"/>
    </row>
    <row r="3" spans="1:9" s="13" customFormat="1" ht="30" x14ac:dyDescent="0.25">
      <c r="A3" s="32" t="s">
        <v>5</v>
      </c>
      <c r="B3" s="32" t="s">
        <v>7</v>
      </c>
      <c r="C3" s="32" t="s">
        <v>6</v>
      </c>
      <c r="D3" s="32" t="s">
        <v>164</v>
      </c>
      <c r="G3" s="144"/>
      <c r="H3" s="145"/>
      <c r="I3" s="146"/>
    </row>
    <row r="4" spans="1:9" x14ac:dyDescent="0.25">
      <c r="A4" s="14" t="s">
        <v>1</v>
      </c>
      <c r="B4" s="10">
        <v>60.284495021337122</v>
      </c>
      <c r="C4" s="10">
        <v>39.715504978662878</v>
      </c>
      <c r="D4" s="10">
        <v>100</v>
      </c>
      <c r="G4" s="144"/>
      <c r="H4" s="145"/>
    </row>
    <row r="5" spans="1:9" x14ac:dyDescent="0.25">
      <c r="A5" s="15" t="s">
        <v>26</v>
      </c>
    </row>
    <row r="7" spans="1:9" ht="15.75" x14ac:dyDescent="0.25">
      <c r="A7" s="8" t="s">
        <v>201</v>
      </c>
      <c r="F7" s="8" t="s">
        <v>204</v>
      </c>
    </row>
    <row r="8" spans="1:9" ht="74.25" customHeight="1" x14ac:dyDescent="0.25">
      <c r="A8" s="78" t="s">
        <v>25</v>
      </c>
      <c r="B8" s="78" t="s">
        <v>199</v>
      </c>
      <c r="C8" s="78" t="s">
        <v>200</v>
      </c>
      <c r="D8" s="79"/>
      <c r="E8" s="79"/>
      <c r="F8" s="78" t="s">
        <v>25</v>
      </c>
      <c r="G8" s="78" t="s">
        <v>202</v>
      </c>
      <c r="H8" s="78" t="s">
        <v>203</v>
      </c>
      <c r="I8" s="42"/>
    </row>
    <row r="9" spans="1:9" x14ac:dyDescent="0.25">
      <c r="A9" s="93" t="s">
        <v>22</v>
      </c>
      <c r="B9" s="21">
        <v>3.7771482530689329</v>
      </c>
      <c r="C9" s="21">
        <v>4.5878136200716844</v>
      </c>
      <c r="D9" s="147"/>
      <c r="E9" s="79"/>
      <c r="F9" s="93" t="s">
        <v>22</v>
      </c>
      <c r="G9" s="21">
        <v>7.8583150222030769</v>
      </c>
      <c r="H9" s="21">
        <v>6.5783170029995599</v>
      </c>
      <c r="I9" s="42"/>
    </row>
    <row r="10" spans="1:9" x14ac:dyDescent="0.25">
      <c r="A10" s="94" t="s">
        <v>23</v>
      </c>
      <c r="B10" s="21">
        <v>2.2662889518413598</v>
      </c>
      <c r="C10" s="21">
        <v>3.5842293906810032</v>
      </c>
      <c r="D10" s="147"/>
      <c r="E10" s="79"/>
      <c r="F10" s="94" t="s">
        <v>23</v>
      </c>
      <c r="G10" s="21">
        <v>4.6037052585566141</v>
      </c>
      <c r="H10" s="21">
        <v>5.0037487457821559</v>
      </c>
      <c r="I10" s="42"/>
    </row>
    <row r="11" spans="1:9" x14ac:dyDescent="0.25">
      <c r="A11" s="94" t="s">
        <v>24</v>
      </c>
      <c r="B11" s="21">
        <v>1.6997167138810201</v>
      </c>
      <c r="C11" s="21">
        <v>2.2222222222222223</v>
      </c>
      <c r="D11" s="147"/>
      <c r="E11" s="79"/>
      <c r="F11" s="94" t="s">
        <v>24</v>
      </c>
      <c r="G11" s="21">
        <v>3.421995667435886</v>
      </c>
      <c r="H11" s="21">
        <v>3.0704286921809798</v>
      </c>
      <c r="I11" s="42"/>
    </row>
    <row r="12" spans="1:9" x14ac:dyDescent="0.25">
      <c r="A12" s="95" t="s">
        <v>8</v>
      </c>
      <c r="B12" s="21">
        <v>1.6052880075542966</v>
      </c>
      <c r="C12" s="21">
        <v>1.4336917562724014</v>
      </c>
      <c r="D12" s="147"/>
      <c r="E12" s="79"/>
      <c r="F12" s="95" t="s">
        <v>8</v>
      </c>
      <c r="G12" s="21">
        <v>3.1458865516495811</v>
      </c>
      <c r="H12" s="21">
        <v>1.9356147771999759</v>
      </c>
      <c r="I12" s="42"/>
    </row>
    <row r="13" spans="1:9" x14ac:dyDescent="0.25">
      <c r="A13" s="95" t="s">
        <v>9</v>
      </c>
      <c r="B13" s="21">
        <v>2.9272898961284231</v>
      </c>
      <c r="C13" s="21">
        <v>2.0071684587813619</v>
      </c>
      <c r="D13" s="147"/>
      <c r="E13" s="79"/>
      <c r="F13" s="95" t="s">
        <v>9</v>
      </c>
      <c r="G13" s="21">
        <v>5.39513761319213</v>
      </c>
      <c r="H13" s="21">
        <v>2.5733961195193675</v>
      </c>
      <c r="I13" s="42"/>
    </row>
    <row r="14" spans="1:9" x14ac:dyDescent="0.25">
      <c r="A14" s="95" t="s">
        <v>10</v>
      </c>
      <c r="B14" s="21">
        <v>4.1076487252124654</v>
      </c>
      <c r="C14" s="21">
        <v>2.4372759856630828</v>
      </c>
      <c r="D14" s="147"/>
      <c r="E14" s="79"/>
      <c r="F14" s="95" t="s">
        <v>10</v>
      </c>
      <c r="G14" s="21">
        <v>7.4624954217121227</v>
      </c>
      <c r="H14" s="21">
        <v>3.0192127156527109</v>
      </c>
      <c r="I14" s="42"/>
    </row>
    <row r="15" spans="1:9" x14ac:dyDescent="0.25">
      <c r="A15" s="95" t="s">
        <v>11</v>
      </c>
      <c r="B15" s="21">
        <v>3.4466477809254012</v>
      </c>
      <c r="C15" s="21">
        <v>3.655913978494624</v>
      </c>
      <c r="D15" s="147"/>
      <c r="E15" s="79"/>
      <c r="F15" s="95" t="s">
        <v>11</v>
      </c>
      <c r="G15" s="21">
        <v>6.6391746507768863</v>
      </c>
      <c r="H15" s="21">
        <v>4.7070565224414578</v>
      </c>
      <c r="I15" s="42"/>
    </row>
    <row r="16" spans="1:9" x14ac:dyDescent="0.25">
      <c r="A16" s="95" t="s">
        <v>12</v>
      </c>
      <c r="B16" s="21">
        <v>4.0604343720491025</v>
      </c>
      <c r="C16" s="21">
        <v>4.3727598566308243</v>
      </c>
      <c r="D16" s="147"/>
      <c r="E16" s="79"/>
      <c r="F16" s="95" t="s">
        <v>12</v>
      </c>
      <c r="G16" s="21">
        <v>8.2722743983482179</v>
      </c>
      <c r="H16" s="21">
        <v>5.8584675993264632</v>
      </c>
      <c r="I16" s="42"/>
    </row>
    <row r="17" spans="1:9" x14ac:dyDescent="0.25">
      <c r="A17" s="95" t="s">
        <v>13</v>
      </c>
      <c r="B17" s="21">
        <v>4.9575070821529748</v>
      </c>
      <c r="C17" s="21">
        <v>4.1577060931899643</v>
      </c>
      <c r="D17" s="147"/>
      <c r="E17" s="79"/>
      <c r="F17" s="95" t="s">
        <v>13</v>
      </c>
      <c r="G17" s="21">
        <v>10.724583025486178</v>
      </c>
      <c r="H17" s="21">
        <v>5.8399588588255789</v>
      </c>
      <c r="I17" s="42"/>
    </row>
    <row r="18" spans="1:9" x14ac:dyDescent="0.25">
      <c r="A18" s="95" t="s">
        <v>14</v>
      </c>
      <c r="B18" s="21">
        <v>5.476864966949953</v>
      </c>
      <c r="C18" s="21">
        <v>5.5197132616487457</v>
      </c>
      <c r="D18" s="147"/>
      <c r="E18" s="79"/>
      <c r="F18" s="95" t="s">
        <v>14</v>
      </c>
      <c r="G18" s="21">
        <v>11.175197132263687</v>
      </c>
      <c r="H18" s="21">
        <v>7.2802350401127844</v>
      </c>
      <c r="I18" s="42"/>
    </row>
    <row r="19" spans="1:9" x14ac:dyDescent="0.25">
      <c r="A19" s="95" t="s">
        <v>15</v>
      </c>
      <c r="B19" s="21">
        <v>7.2237960339943346</v>
      </c>
      <c r="C19" s="21">
        <v>6.9534050179211464</v>
      </c>
      <c r="D19" s="147"/>
      <c r="E19" s="79"/>
      <c r="F19" s="95" t="s">
        <v>15</v>
      </c>
      <c r="G19" s="21">
        <v>14.257700224787184</v>
      </c>
      <c r="H19" s="21">
        <v>8.7316633427916752</v>
      </c>
      <c r="I19" s="42"/>
    </row>
    <row r="20" spans="1:9" x14ac:dyDescent="0.25">
      <c r="A20" s="95" t="s">
        <v>16</v>
      </c>
      <c r="B20" s="21">
        <v>11.378659112370162</v>
      </c>
      <c r="C20" s="21">
        <v>9.3189964157706093</v>
      </c>
      <c r="D20" s="147"/>
      <c r="E20" s="79"/>
      <c r="F20" s="95" t="s">
        <v>16</v>
      </c>
      <c r="G20" s="21">
        <v>22.562594199164355</v>
      </c>
      <c r="H20" s="21">
        <v>11.510083141081159</v>
      </c>
      <c r="I20" s="42"/>
    </row>
    <row r="21" spans="1:9" x14ac:dyDescent="0.25">
      <c r="A21" s="95" t="s">
        <v>17</v>
      </c>
      <c r="B21" s="21">
        <v>11.425873465533522</v>
      </c>
      <c r="C21" s="21">
        <v>9.7491039426523312</v>
      </c>
      <c r="D21" s="147"/>
      <c r="E21" s="79"/>
      <c r="F21" s="95" t="s">
        <v>17</v>
      </c>
      <c r="G21" s="21">
        <v>25.987240569248623</v>
      </c>
      <c r="H21" s="21">
        <v>13.3747163250233</v>
      </c>
      <c r="I21" s="42"/>
    </row>
    <row r="22" spans="1:9" x14ac:dyDescent="0.25">
      <c r="A22" s="95" t="s">
        <v>18</v>
      </c>
      <c r="B22" s="21">
        <v>9.9622285174693115</v>
      </c>
      <c r="C22" s="21">
        <v>8.9605734767025087</v>
      </c>
      <c r="D22" s="147"/>
      <c r="E22" s="79"/>
      <c r="F22" s="95" t="s">
        <v>18</v>
      </c>
      <c r="G22" s="21">
        <v>26.586184514895685</v>
      </c>
      <c r="H22" s="21">
        <v>14.069771359859629</v>
      </c>
      <c r="I22" s="42"/>
    </row>
    <row r="23" spans="1:9" x14ac:dyDescent="0.25">
      <c r="A23" s="95" t="s">
        <v>19</v>
      </c>
      <c r="B23" s="21">
        <v>7.6959395656279499</v>
      </c>
      <c r="C23" s="21">
        <v>9.1039426523297493</v>
      </c>
      <c r="D23" s="147"/>
      <c r="E23" s="79"/>
      <c r="F23" s="95" t="s">
        <v>19</v>
      </c>
      <c r="G23" s="21">
        <v>29.88810800160628</v>
      </c>
      <c r="H23" s="21">
        <v>19.979284132131568</v>
      </c>
      <c r="I23" s="42"/>
    </row>
    <row r="24" spans="1:9" x14ac:dyDescent="0.25">
      <c r="A24" s="95" t="s">
        <v>20</v>
      </c>
      <c r="B24" s="21">
        <v>7.5070821529745047</v>
      </c>
      <c r="C24" s="21">
        <v>8.0286738351254474</v>
      </c>
      <c r="D24" s="147"/>
      <c r="E24" s="79"/>
      <c r="F24" s="95" t="s">
        <v>20</v>
      </c>
      <c r="G24" s="21">
        <v>42.680895903073086</v>
      </c>
      <c r="H24" s="21">
        <v>24.111784721091944</v>
      </c>
      <c r="I24" s="42"/>
    </row>
    <row r="25" spans="1:9" x14ac:dyDescent="0.25">
      <c r="A25" s="95" t="s">
        <v>21</v>
      </c>
      <c r="B25" s="21">
        <v>4.7686496694995277</v>
      </c>
      <c r="C25" s="21">
        <v>5.5197132616487457</v>
      </c>
      <c r="D25" s="147"/>
      <c r="E25" s="79"/>
      <c r="F25" s="95" t="s">
        <v>21</v>
      </c>
      <c r="G25" s="21">
        <v>41.145020889239383</v>
      </c>
      <c r="H25" s="21">
        <v>22.568337934128184</v>
      </c>
      <c r="I25" s="42"/>
    </row>
    <row r="26" spans="1:9" x14ac:dyDescent="0.25">
      <c r="A26" s="95" t="s">
        <v>29</v>
      </c>
      <c r="B26" s="21">
        <v>5.7129367327667611</v>
      </c>
      <c r="C26" s="21">
        <v>8.3870967741935498</v>
      </c>
      <c r="D26" s="147"/>
      <c r="E26" s="79"/>
      <c r="F26" s="95" t="s">
        <v>29</v>
      </c>
      <c r="G26" s="21">
        <v>54.338145765477563</v>
      </c>
      <c r="H26" s="21">
        <v>28.1814618374761</v>
      </c>
      <c r="I26" s="42"/>
    </row>
    <row r="27" spans="1:9" x14ac:dyDescent="0.25">
      <c r="A27" s="95" t="s">
        <v>4</v>
      </c>
      <c r="B27" s="21">
        <f>SUM(B9:B26)</f>
        <v>100.00000000000001</v>
      </c>
      <c r="C27" s="21">
        <f>SUM(C9:C26)</f>
        <v>100.00000000000001</v>
      </c>
      <c r="D27" s="79"/>
      <c r="E27" s="79"/>
      <c r="F27" s="96"/>
      <c r="G27" s="41"/>
      <c r="H27" s="41"/>
      <c r="I27" s="42"/>
    </row>
    <row r="28" spans="1:9" x14ac:dyDescent="0.25">
      <c r="A28" s="15" t="s">
        <v>175</v>
      </c>
      <c r="F28" s="15" t="s">
        <v>176</v>
      </c>
      <c r="I28" s="42"/>
    </row>
    <row r="29" spans="1:9" x14ac:dyDescent="0.25">
      <c r="A29" s="16" t="s">
        <v>28</v>
      </c>
      <c r="F29" s="16" t="s">
        <v>28</v>
      </c>
      <c r="I29" s="42"/>
    </row>
    <row r="30" spans="1:9" x14ac:dyDescent="0.25">
      <c r="I30" s="42"/>
    </row>
    <row r="31" spans="1:9" x14ac:dyDescent="0.25">
      <c r="I31" s="42"/>
    </row>
    <row r="32" spans="1:9" x14ac:dyDescent="0.25">
      <c r="I32" s="42"/>
    </row>
  </sheetData>
  <pageMargins left="0.7" right="0.7" top="0.75" bottom="0.75" header="0.3" footer="0.3"/>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A2:K18"/>
  <sheetViews>
    <sheetView workbookViewId="0">
      <selection activeCell="F13" sqref="F13"/>
    </sheetView>
  </sheetViews>
  <sheetFormatPr defaultRowHeight="15" x14ac:dyDescent="0.25"/>
  <cols>
    <col min="1" max="1" width="22.42578125" customWidth="1"/>
    <col min="6" max="6" width="25.85546875" customWidth="1"/>
    <col min="7" max="7" width="13.7109375" customWidth="1"/>
    <col min="8" max="8" width="13.85546875" customWidth="1"/>
  </cols>
  <sheetData>
    <row r="2" spans="1:11" ht="15.75" x14ac:dyDescent="0.25">
      <c r="A2" s="8" t="s">
        <v>205</v>
      </c>
      <c r="F2" s="8" t="s">
        <v>206</v>
      </c>
    </row>
    <row r="3" spans="1:11" ht="75" x14ac:dyDescent="0.25">
      <c r="A3" s="6" t="s">
        <v>35</v>
      </c>
      <c r="B3" s="6" t="s">
        <v>83</v>
      </c>
      <c r="C3" s="6" t="s">
        <v>84</v>
      </c>
      <c r="D3" s="6" t="s">
        <v>85</v>
      </c>
      <c r="F3" s="6" t="s">
        <v>35</v>
      </c>
      <c r="G3" s="6" t="s">
        <v>202</v>
      </c>
      <c r="H3" s="6" t="s">
        <v>203</v>
      </c>
      <c r="I3" s="4"/>
      <c r="J3" s="4"/>
      <c r="K3" s="4"/>
    </row>
    <row r="4" spans="1:11" x14ac:dyDescent="0.25">
      <c r="A4" s="7" t="s">
        <v>30</v>
      </c>
      <c r="B4" s="124">
        <v>1644</v>
      </c>
      <c r="C4" s="124">
        <v>1072</v>
      </c>
      <c r="D4" s="124">
        <f>SUM(B4:C4)</f>
        <v>2716</v>
      </c>
      <c r="F4" s="7" t="s">
        <v>30</v>
      </c>
      <c r="G4" s="21">
        <v>13.341273934064876</v>
      </c>
      <c r="H4" s="21">
        <v>8.5491426972337852</v>
      </c>
      <c r="I4" s="4"/>
      <c r="J4" s="4"/>
      <c r="K4" s="4"/>
    </row>
    <row r="5" spans="1:11" x14ac:dyDescent="0.25">
      <c r="A5" s="7" t="s">
        <v>31</v>
      </c>
      <c r="B5" s="124">
        <v>406</v>
      </c>
      <c r="C5" s="124">
        <v>287</v>
      </c>
      <c r="D5" s="124">
        <f>SUM(B5:C5)</f>
        <v>693</v>
      </c>
      <c r="F5" s="7" t="s">
        <v>31</v>
      </c>
      <c r="G5" s="21">
        <v>19.694694399706925</v>
      </c>
      <c r="H5" s="21">
        <v>12.787316977627185</v>
      </c>
      <c r="I5" s="4"/>
      <c r="J5" s="4"/>
      <c r="K5" s="4"/>
    </row>
    <row r="6" spans="1:11" x14ac:dyDescent="0.25">
      <c r="A6" s="7" t="s">
        <v>32</v>
      </c>
      <c r="B6" s="124">
        <v>38</v>
      </c>
      <c r="C6" s="124">
        <v>20</v>
      </c>
      <c r="D6" s="124">
        <f>SUM(B6:C6)</f>
        <v>58</v>
      </c>
      <c r="F6" s="7" t="s">
        <v>32</v>
      </c>
      <c r="G6" s="21">
        <v>18.579081616438771</v>
      </c>
      <c r="H6" s="43">
        <v>9.9478929367970572</v>
      </c>
      <c r="I6" s="4"/>
      <c r="J6" s="4"/>
      <c r="K6" s="4"/>
    </row>
    <row r="7" spans="1:11" x14ac:dyDescent="0.25">
      <c r="A7" s="7" t="s">
        <v>33</v>
      </c>
      <c r="B7" s="124">
        <v>31</v>
      </c>
      <c r="C7" s="124">
        <v>17</v>
      </c>
      <c r="D7" s="124">
        <f>SUM(B7:C7)</f>
        <v>48</v>
      </c>
      <c r="F7" s="7" t="s">
        <v>33</v>
      </c>
      <c r="G7" s="21">
        <v>3.3802670694491135</v>
      </c>
      <c r="H7" s="21">
        <v>1.6953317345357823</v>
      </c>
      <c r="I7" s="4"/>
      <c r="J7" s="4"/>
      <c r="K7" s="4"/>
    </row>
    <row r="8" spans="1:11" x14ac:dyDescent="0.25">
      <c r="A8" s="7" t="s">
        <v>34</v>
      </c>
      <c r="B8" s="124">
        <f>SUM(B4:B7)</f>
        <v>2119</v>
      </c>
      <c r="C8" s="124">
        <f>SUM(C4:C7)</f>
        <v>1396</v>
      </c>
      <c r="D8" s="124">
        <f>SUM(B8:C8)</f>
        <v>3515</v>
      </c>
      <c r="F8" s="7" t="s">
        <v>34</v>
      </c>
      <c r="G8" s="21">
        <v>13.665899368444553</v>
      </c>
      <c r="H8" s="21">
        <v>8.7318317851887315</v>
      </c>
      <c r="I8" s="4"/>
      <c r="J8" s="4"/>
      <c r="K8" s="4"/>
    </row>
    <row r="9" spans="1:11" x14ac:dyDescent="0.25">
      <c r="A9" s="15" t="s">
        <v>175</v>
      </c>
      <c r="F9" s="15" t="s">
        <v>27</v>
      </c>
      <c r="G9" s="4"/>
      <c r="H9" s="4"/>
      <c r="I9" s="4"/>
      <c r="J9" s="4"/>
      <c r="K9" s="4"/>
    </row>
    <row r="10" spans="1:11" ht="108" x14ac:dyDescent="0.25">
      <c r="A10" s="82" t="s">
        <v>167</v>
      </c>
      <c r="B10" s="81"/>
      <c r="F10" s="82" t="s">
        <v>207</v>
      </c>
    </row>
    <row r="11" spans="1:11" x14ac:dyDescent="0.25">
      <c r="F11" s="85"/>
    </row>
    <row r="14" spans="1:11" x14ac:dyDescent="0.25">
      <c r="A14" s="42"/>
      <c r="B14" s="148"/>
      <c r="C14" s="148"/>
    </row>
    <row r="15" spans="1:11" x14ac:dyDescent="0.25">
      <c r="A15" s="42"/>
      <c r="B15" s="149"/>
      <c r="C15" s="149"/>
    </row>
    <row r="16" spans="1:11" x14ac:dyDescent="0.25">
      <c r="A16" s="42"/>
      <c r="B16" s="149"/>
      <c r="C16" s="149"/>
    </row>
    <row r="17" spans="1:3" x14ac:dyDescent="0.25">
      <c r="A17" s="42"/>
      <c r="B17" s="149"/>
      <c r="C17" s="149"/>
    </row>
    <row r="18" spans="1:3" x14ac:dyDescent="0.25">
      <c r="A18" s="150"/>
      <c r="B18" s="149"/>
      <c r="C18" s="149"/>
    </row>
  </sheetData>
  <pageMargins left="0.7" right="0.7" top="0.75" bottom="0.75" header="0.3" footer="0.3"/>
  <pageSetup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dimension ref="A2:D63"/>
  <sheetViews>
    <sheetView topLeftCell="A38" workbookViewId="0">
      <selection activeCell="A63" sqref="A63"/>
    </sheetView>
  </sheetViews>
  <sheetFormatPr defaultRowHeight="15" x14ac:dyDescent="0.25"/>
  <cols>
    <col min="1" max="1" width="20.85546875" customWidth="1"/>
    <col min="2" max="2" width="9.140625" customWidth="1"/>
    <col min="3" max="3" width="14.7109375" customWidth="1"/>
    <col min="4" max="4" width="13.5703125" customWidth="1"/>
    <col min="5" max="7" width="9.140625" customWidth="1"/>
  </cols>
  <sheetData>
    <row r="2" spans="1:4" ht="18.75" x14ac:dyDescent="0.3">
      <c r="A2" s="20" t="s">
        <v>213</v>
      </c>
    </row>
    <row r="3" spans="1:4" ht="60" x14ac:dyDescent="0.25">
      <c r="A3" s="76" t="s">
        <v>36</v>
      </c>
      <c r="B3" s="76" t="s">
        <v>214</v>
      </c>
      <c r="C3" s="44" t="s">
        <v>215</v>
      </c>
      <c r="D3" s="35" t="s">
        <v>216</v>
      </c>
    </row>
    <row r="4" spans="1:4" x14ac:dyDescent="0.25">
      <c r="A4" s="123" t="s">
        <v>45</v>
      </c>
      <c r="B4" s="124">
        <v>108</v>
      </c>
      <c r="C4" s="21">
        <v>22.219730503472348</v>
      </c>
      <c r="D4" s="10">
        <v>2.0443791518985766</v>
      </c>
    </row>
    <row r="5" spans="1:4" x14ac:dyDescent="0.25">
      <c r="A5" s="123" t="s">
        <v>153</v>
      </c>
      <c r="B5" s="124">
        <v>19</v>
      </c>
      <c r="C5" s="21">
        <v>25.622975447795209</v>
      </c>
      <c r="D5" s="10">
        <v>2.3575027972051932</v>
      </c>
    </row>
    <row r="6" spans="1:4" x14ac:dyDescent="0.25">
      <c r="A6" s="123" t="s">
        <v>67</v>
      </c>
      <c r="B6" s="124">
        <v>58</v>
      </c>
      <c r="C6" s="21">
        <v>8.3952823145272255</v>
      </c>
      <c r="D6" s="10">
        <v>0.77242791650601472</v>
      </c>
    </row>
    <row r="7" spans="1:4" x14ac:dyDescent="0.25">
      <c r="A7" s="123" t="s">
        <v>64</v>
      </c>
      <c r="B7" s="124">
        <v>62</v>
      </c>
      <c r="C7" s="21">
        <v>20.748061311190469</v>
      </c>
      <c r="D7" s="10">
        <v>1.908974727676495</v>
      </c>
    </row>
    <row r="8" spans="1:4" x14ac:dyDescent="0.25">
      <c r="A8" s="123" t="s">
        <v>38</v>
      </c>
      <c r="B8" s="124">
        <v>254</v>
      </c>
      <c r="C8" s="21">
        <v>6.4636839191381945</v>
      </c>
      <c r="D8" s="10">
        <v>0.59470661206638753</v>
      </c>
    </row>
    <row r="9" spans="1:4" x14ac:dyDescent="0.25">
      <c r="A9" s="123" t="s">
        <v>66</v>
      </c>
      <c r="B9" s="124">
        <v>46</v>
      </c>
      <c r="C9" s="21">
        <v>8.3181060757435894</v>
      </c>
      <c r="D9" s="10">
        <v>0.76532713310242861</v>
      </c>
    </row>
    <row r="10" spans="1:4" x14ac:dyDescent="0.25">
      <c r="A10" s="123" t="s">
        <v>208</v>
      </c>
      <c r="B10" s="124">
        <v>19</v>
      </c>
      <c r="C10" s="21">
        <v>5.2958941490125246</v>
      </c>
      <c r="D10" s="10">
        <v>0.48726133682003553</v>
      </c>
    </row>
    <row r="11" spans="1:4" x14ac:dyDescent="0.25">
      <c r="A11" s="125" t="s">
        <v>77</v>
      </c>
      <c r="B11" s="121" t="s">
        <v>111</v>
      </c>
      <c r="C11" s="121" t="s">
        <v>111</v>
      </c>
      <c r="D11" s="121" t="s">
        <v>111</v>
      </c>
    </row>
    <row r="12" spans="1:4" ht="15" customHeight="1" x14ac:dyDescent="0.25">
      <c r="A12" s="125" t="s">
        <v>161</v>
      </c>
      <c r="B12" s="124">
        <v>12</v>
      </c>
      <c r="C12" s="21">
        <v>17.535245844146733</v>
      </c>
      <c r="D12" s="10">
        <v>1.6133719993402955</v>
      </c>
    </row>
    <row r="13" spans="1:4" x14ac:dyDescent="0.25">
      <c r="A13" s="123" t="s">
        <v>43</v>
      </c>
      <c r="B13" s="124">
        <v>147</v>
      </c>
      <c r="C13" s="21">
        <v>7.1163733760690109</v>
      </c>
      <c r="D13" s="10">
        <v>0.65475885789379951</v>
      </c>
    </row>
    <row r="14" spans="1:4" x14ac:dyDescent="0.25">
      <c r="A14" s="123" t="s">
        <v>40</v>
      </c>
      <c r="B14" s="124">
        <v>186</v>
      </c>
      <c r="C14" s="21">
        <v>18.034404990682223</v>
      </c>
      <c r="D14" s="10">
        <v>1.6592983238066148</v>
      </c>
    </row>
    <row r="15" spans="1:4" x14ac:dyDescent="0.25">
      <c r="A15" s="125" t="s">
        <v>103</v>
      </c>
      <c r="B15" s="121" t="s">
        <v>111</v>
      </c>
      <c r="C15" s="121" t="s">
        <v>111</v>
      </c>
      <c r="D15" s="121" t="s">
        <v>111</v>
      </c>
    </row>
    <row r="16" spans="1:4" x14ac:dyDescent="0.25">
      <c r="A16" s="125" t="s">
        <v>169</v>
      </c>
      <c r="B16" s="124">
        <v>16</v>
      </c>
      <c r="C16" s="21">
        <v>9.5236621338003111</v>
      </c>
      <c r="D16" s="21">
        <v>0.87624718549239966</v>
      </c>
    </row>
    <row r="17" spans="1:4" x14ac:dyDescent="0.25">
      <c r="A17" s="123" t="s">
        <v>49</v>
      </c>
      <c r="B17" s="124">
        <v>136</v>
      </c>
      <c r="C17" s="21">
        <v>10.59542716944877</v>
      </c>
      <c r="D17" s="10">
        <v>0.97485747666002365</v>
      </c>
    </row>
    <row r="18" spans="1:4" x14ac:dyDescent="0.25">
      <c r="A18" s="123" t="s">
        <v>50</v>
      </c>
      <c r="B18" s="124">
        <v>76</v>
      </c>
      <c r="C18" s="21">
        <v>11.456122973641722</v>
      </c>
      <c r="D18" s="10">
        <v>1.0540478411850873</v>
      </c>
    </row>
    <row r="19" spans="1:4" x14ac:dyDescent="0.25">
      <c r="A19" s="123" t="s">
        <v>68</v>
      </c>
      <c r="B19" s="124">
        <v>54</v>
      </c>
      <c r="C19" s="21">
        <v>17.247607613094001</v>
      </c>
      <c r="D19" s="10">
        <v>1.5869071597797393</v>
      </c>
    </row>
    <row r="20" spans="1:4" x14ac:dyDescent="0.25">
      <c r="A20" s="123" t="s">
        <v>63</v>
      </c>
      <c r="B20" s="124">
        <v>53</v>
      </c>
      <c r="C20" s="21">
        <v>18.22727067944043</v>
      </c>
      <c r="D20" s="10">
        <v>1.6770433902083977</v>
      </c>
    </row>
    <row r="21" spans="1:4" x14ac:dyDescent="0.25">
      <c r="A21" s="123" t="s">
        <v>54</v>
      </c>
      <c r="B21" s="124">
        <v>88</v>
      </c>
      <c r="C21" s="21">
        <v>19.837186293496128</v>
      </c>
      <c r="D21" s="10">
        <v>1.8251675052680796</v>
      </c>
    </row>
    <row r="22" spans="1:4" x14ac:dyDescent="0.25">
      <c r="A22" s="123" t="s">
        <v>51</v>
      </c>
      <c r="B22" s="124">
        <v>75</v>
      </c>
      <c r="C22" s="21">
        <v>16.004585420420188</v>
      </c>
      <c r="D22" s="10">
        <v>1.4725399465656783</v>
      </c>
    </row>
    <row r="23" spans="1:4" x14ac:dyDescent="0.25">
      <c r="A23" s="125" t="s">
        <v>170</v>
      </c>
      <c r="B23" s="124">
        <v>17</v>
      </c>
      <c r="C23" s="21">
        <v>12.779725641842926</v>
      </c>
      <c r="D23" s="10">
        <v>1.1758290527009068</v>
      </c>
    </row>
    <row r="24" spans="1:4" x14ac:dyDescent="0.25">
      <c r="A24" s="123" t="s">
        <v>57</v>
      </c>
      <c r="B24" s="124">
        <v>55</v>
      </c>
      <c r="C24" s="21">
        <v>9.1290064719676423</v>
      </c>
      <c r="D24" s="10">
        <v>0.83993595268499199</v>
      </c>
    </row>
    <row r="25" spans="1:4" x14ac:dyDescent="0.25">
      <c r="A25" s="123" t="s">
        <v>65</v>
      </c>
      <c r="B25" s="124">
        <v>42</v>
      </c>
      <c r="C25" s="21">
        <v>6.1549995962613364</v>
      </c>
      <c r="D25" s="10">
        <v>0.566305376771983</v>
      </c>
    </row>
    <row r="26" spans="1:4" x14ac:dyDescent="0.25">
      <c r="A26" s="123" t="s">
        <v>46</v>
      </c>
      <c r="B26" s="124">
        <v>122</v>
      </c>
      <c r="C26" s="21">
        <v>12.281741128077922</v>
      </c>
      <c r="D26" s="10">
        <v>1.1300108031163572</v>
      </c>
    </row>
    <row r="27" spans="1:4" x14ac:dyDescent="0.25">
      <c r="A27" s="123" t="s">
        <v>62</v>
      </c>
      <c r="B27" s="124">
        <v>50</v>
      </c>
      <c r="C27" s="21">
        <v>9.0496918579922347</v>
      </c>
      <c r="D27" s="10">
        <v>0.83263842298602164</v>
      </c>
    </row>
    <row r="28" spans="1:4" x14ac:dyDescent="0.25">
      <c r="A28" s="123" t="s">
        <v>55</v>
      </c>
      <c r="B28" s="124">
        <v>59</v>
      </c>
      <c r="C28" s="21">
        <v>19.762746552824314</v>
      </c>
      <c r="D28" s="10">
        <v>1.8183184998816997</v>
      </c>
    </row>
    <row r="29" spans="1:4" x14ac:dyDescent="0.25">
      <c r="A29" s="123" t="s">
        <v>48</v>
      </c>
      <c r="B29" s="124">
        <v>90</v>
      </c>
      <c r="C29" s="21">
        <v>14.775471928573399</v>
      </c>
      <c r="D29" s="10">
        <v>1.3594524364513609</v>
      </c>
    </row>
    <row r="30" spans="1:4" x14ac:dyDescent="0.25">
      <c r="A30" s="123" t="s">
        <v>154</v>
      </c>
      <c r="B30" s="124">
        <v>10</v>
      </c>
      <c r="C30" s="21">
        <v>9.6278267299279072</v>
      </c>
      <c r="D30" s="10">
        <v>0.88583109690194239</v>
      </c>
    </row>
    <row r="31" spans="1:4" x14ac:dyDescent="0.25">
      <c r="A31" s="125" t="s">
        <v>75</v>
      </c>
      <c r="B31" s="124">
        <v>29</v>
      </c>
      <c r="C31" s="21">
        <v>15.202324592695652</v>
      </c>
      <c r="D31" s="10">
        <v>1.3987260310310758</v>
      </c>
    </row>
    <row r="32" spans="1:4" x14ac:dyDescent="0.25">
      <c r="A32" s="125" t="s">
        <v>76</v>
      </c>
      <c r="B32" s="124">
        <v>29</v>
      </c>
      <c r="C32" s="21">
        <v>9.8664491057935102</v>
      </c>
      <c r="D32" s="10">
        <v>0.9077861161277565</v>
      </c>
    </row>
    <row r="33" spans="1:4" x14ac:dyDescent="0.25">
      <c r="A33" s="125" t="s">
        <v>171</v>
      </c>
      <c r="B33" s="124">
        <v>11</v>
      </c>
      <c r="C33" s="21">
        <v>8.2396077946689736</v>
      </c>
      <c r="D33" s="21">
        <v>0.75810471205354413</v>
      </c>
    </row>
    <row r="34" spans="1:4" x14ac:dyDescent="0.25">
      <c r="A34" s="123" t="s">
        <v>59</v>
      </c>
      <c r="B34" s="124">
        <v>55</v>
      </c>
      <c r="C34" s="21">
        <v>6.125802145946456</v>
      </c>
      <c r="D34" s="10">
        <v>0.56361899591317788</v>
      </c>
    </row>
    <row r="35" spans="1:4" x14ac:dyDescent="0.25">
      <c r="A35" s="123" t="s">
        <v>71</v>
      </c>
      <c r="B35" s="124">
        <v>22</v>
      </c>
      <c r="C35" s="21">
        <v>10.549372983631208</v>
      </c>
      <c r="D35" s="10">
        <v>0.97062015175959915</v>
      </c>
    </row>
    <row r="36" spans="1:4" x14ac:dyDescent="0.25">
      <c r="A36" s="123" t="s">
        <v>42</v>
      </c>
      <c r="B36" s="124">
        <v>148</v>
      </c>
      <c r="C36" s="21">
        <v>7.4610741143780643</v>
      </c>
      <c r="D36" s="10">
        <v>0.68647386915070696</v>
      </c>
    </row>
    <row r="37" spans="1:4" x14ac:dyDescent="0.25">
      <c r="A37" s="123" t="s">
        <v>47</v>
      </c>
      <c r="B37" s="124">
        <v>129</v>
      </c>
      <c r="C37" s="21">
        <v>12.700989466153784</v>
      </c>
      <c r="D37" s="10">
        <v>1.1685847435922092</v>
      </c>
    </row>
    <row r="38" spans="1:4" x14ac:dyDescent="0.25">
      <c r="A38" s="125" t="s">
        <v>106</v>
      </c>
      <c r="B38" s="121" t="s">
        <v>111</v>
      </c>
      <c r="C38" s="121" t="s">
        <v>111</v>
      </c>
      <c r="D38" s="121" t="s">
        <v>111</v>
      </c>
    </row>
    <row r="39" spans="1:4" x14ac:dyDescent="0.25">
      <c r="A39" s="123" t="s">
        <v>41</v>
      </c>
      <c r="B39" s="124">
        <v>164</v>
      </c>
      <c r="C39" s="21">
        <v>14.11049585142818</v>
      </c>
      <c r="D39" s="10">
        <v>1.2982697309088911</v>
      </c>
    </row>
    <row r="40" spans="1:4" x14ac:dyDescent="0.25">
      <c r="A40" s="123" t="s">
        <v>52</v>
      </c>
      <c r="B40" s="124">
        <v>78</v>
      </c>
      <c r="C40" s="21">
        <v>19.891834325502327</v>
      </c>
      <c r="D40" s="10">
        <v>1.8301955274265078</v>
      </c>
    </row>
    <row r="41" spans="1:4" x14ac:dyDescent="0.25">
      <c r="A41" s="123" t="s">
        <v>172</v>
      </c>
      <c r="B41" s="124">
        <v>39</v>
      </c>
      <c r="C41" s="21">
        <v>9.5448127736026702</v>
      </c>
      <c r="D41" s="10">
        <v>0.87819320041164017</v>
      </c>
    </row>
    <row r="42" spans="1:4" x14ac:dyDescent="0.25">
      <c r="A42" s="123" t="s">
        <v>39</v>
      </c>
      <c r="B42" s="124">
        <v>161</v>
      </c>
      <c r="C42" s="21">
        <v>12.590828949678524</v>
      </c>
      <c r="D42" s="10">
        <v>1.1584491632705125</v>
      </c>
    </row>
    <row r="43" spans="1:4" x14ac:dyDescent="0.25">
      <c r="A43" s="125" t="s">
        <v>209</v>
      </c>
      <c r="B43" s="151">
        <v>14</v>
      </c>
      <c r="C43" s="152">
        <v>13.237944487625359</v>
      </c>
      <c r="D43" s="152">
        <v>1.2179885674249149</v>
      </c>
    </row>
    <row r="44" spans="1:4" x14ac:dyDescent="0.25">
      <c r="A44" s="123" t="s">
        <v>60</v>
      </c>
      <c r="B44" s="124">
        <v>73</v>
      </c>
      <c r="C44" s="21">
        <v>14.718270131468428</v>
      </c>
      <c r="D44" s="10">
        <v>1.3541894490612005</v>
      </c>
    </row>
    <row r="45" spans="1:4" x14ac:dyDescent="0.25">
      <c r="A45" s="125" t="s">
        <v>210</v>
      </c>
      <c r="B45" s="151">
        <v>15</v>
      </c>
      <c r="C45" s="152">
        <v>17.410642777717161</v>
      </c>
      <c r="D45" s="152">
        <v>1.6019075978602038</v>
      </c>
    </row>
    <row r="46" spans="1:4" x14ac:dyDescent="0.25">
      <c r="A46" s="123" t="s">
        <v>44</v>
      </c>
      <c r="B46" s="124">
        <v>141</v>
      </c>
      <c r="C46" s="21">
        <v>21.204907988746058</v>
      </c>
      <c r="D46" s="10">
        <v>1.9510079927992572</v>
      </c>
    </row>
    <row r="47" spans="1:4" x14ac:dyDescent="0.25">
      <c r="A47" s="123" t="s">
        <v>37</v>
      </c>
      <c r="B47" s="124">
        <v>230</v>
      </c>
      <c r="C47" s="21">
        <v>8.2422912537607242</v>
      </c>
      <c r="D47" s="10">
        <v>0.75835161008956176</v>
      </c>
    </row>
    <row r="48" spans="1:4" x14ac:dyDescent="0.25">
      <c r="A48" s="125" t="s">
        <v>74</v>
      </c>
      <c r="B48" s="124">
        <v>25</v>
      </c>
      <c r="C48" s="21">
        <v>8.2120118082160189</v>
      </c>
      <c r="D48" s="10">
        <v>0.7555656776862425</v>
      </c>
    </row>
    <row r="49" spans="1:4" x14ac:dyDescent="0.25">
      <c r="A49" s="123" t="s">
        <v>211</v>
      </c>
      <c r="B49" s="151">
        <v>11</v>
      </c>
      <c r="C49" s="152">
        <v>17.646473753276631</v>
      </c>
      <c r="D49" s="152">
        <v>1.6236057876618459</v>
      </c>
    </row>
    <row r="50" spans="1:4" x14ac:dyDescent="0.25">
      <c r="A50" s="123" t="s">
        <v>53</v>
      </c>
      <c r="B50" s="124">
        <v>90</v>
      </c>
      <c r="C50" s="21">
        <v>10.695975223367617</v>
      </c>
      <c r="D50" s="10">
        <v>0.98410863950214456</v>
      </c>
    </row>
    <row r="51" spans="1:4" x14ac:dyDescent="0.25">
      <c r="A51" s="123" t="s">
        <v>56</v>
      </c>
      <c r="B51" s="124">
        <v>67</v>
      </c>
      <c r="C51" s="21">
        <v>9.2021161021374454</v>
      </c>
      <c r="D51" s="10">
        <v>0.84666257809112833</v>
      </c>
    </row>
    <row r="52" spans="1:4" x14ac:dyDescent="0.25">
      <c r="A52" s="123" t="s">
        <v>58</v>
      </c>
      <c r="B52" s="124">
        <v>53</v>
      </c>
      <c r="C52" s="21">
        <v>28.983335675697255</v>
      </c>
      <c r="D52" s="10">
        <v>2.6666807321814305</v>
      </c>
    </row>
    <row r="53" spans="1:4" x14ac:dyDescent="0.25">
      <c r="A53" s="123" t="s">
        <v>61</v>
      </c>
      <c r="B53" s="124">
        <v>53</v>
      </c>
      <c r="C53" s="21">
        <v>9.1808006247101765</v>
      </c>
      <c r="D53" s="10">
        <v>0.8447013968941619</v>
      </c>
    </row>
    <row r="54" spans="1:4" x14ac:dyDescent="0.25">
      <c r="A54" s="123" t="s">
        <v>108</v>
      </c>
      <c r="B54" s="121" t="s">
        <v>111</v>
      </c>
      <c r="C54" s="121" t="s">
        <v>111</v>
      </c>
      <c r="D54" s="121" t="s">
        <v>111</v>
      </c>
    </row>
    <row r="55" spans="1:4" x14ac:dyDescent="0.25">
      <c r="A55" s="122" t="s">
        <v>112</v>
      </c>
      <c r="B55" s="126">
        <v>3515</v>
      </c>
      <c r="C55" s="127">
        <v>10.86869355072287</v>
      </c>
      <c r="D55" s="128">
        <v>1</v>
      </c>
    </row>
    <row r="56" spans="1:4" x14ac:dyDescent="0.25">
      <c r="A56" s="2" t="s">
        <v>115</v>
      </c>
    </row>
    <row r="57" spans="1:4" x14ac:dyDescent="0.25">
      <c r="A57" s="30" t="s">
        <v>212</v>
      </c>
    </row>
    <row r="58" spans="1:4" x14ac:dyDescent="0.25">
      <c r="A58" s="30" t="s">
        <v>217</v>
      </c>
    </row>
    <row r="59" spans="1:4" x14ac:dyDescent="0.25">
      <c r="A59" s="2" t="s">
        <v>113</v>
      </c>
    </row>
    <row r="60" spans="1:4" x14ac:dyDescent="0.25">
      <c r="A60" s="30" t="s">
        <v>218</v>
      </c>
    </row>
    <row r="61" spans="1:4" x14ac:dyDescent="0.25">
      <c r="A61" s="30" t="s">
        <v>114</v>
      </c>
    </row>
    <row r="62" spans="1:4" x14ac:dyDescent="0.25">
      <c r="A62" s="129" t="s">
        <v>219</v>
      </c>
    </row>
    <row r="63" spans="1:4" x14ac:dyDescent="0.25">
      <c r="A63" s="30" t="s">
        <v>155</v>
      </c>
    </row>
  </sheetData>
  <pageMargins left="0.7" right="0.7" top="0.75" bottom="0.75" header="0.3" footer="0.3"/>
  <pageSetup paperSize="5" scale="85"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dimension ref="A1:AA87"/>
  <sheetViews>
    <sheetView zoomScale="85" zoomScaleNormal="85" workbookViewId="0">
      <selection activeCell="A85" sqref="A85"/>
    </sheetView>
  </sheetViews>
  <sheetFormatPr defaultRowHeight="15" x14ac:dyDescent="0.25"/>
  <cols>
    <col min="1" max="1" width="24.5703125" customWidth="1"/>
    <col min="2" max="3" width="14" customWidth="1"/>
    <col min="4" max="4" width="13.7109375" customWidth="1"/>
    <col min="5" max="5" width="14" customWidth="1"/>
    <col min="6" max="6" width="12.42578125" customWidth="1"/>
    <col min="7" max="7" width="13.5703125" customWidth="1"/>
    <col min="8" max="8" width="13.7109375" customWidth="1"/>
    <col min="9" max="9" width="13" customWidth="1"/>
    <col min="10" max="10" width="13.85546875" customWidth="1"/>
    <col min="11" max="11" width="13.5703125" customWidth="1"/>
    <col min="12" max="12" width="14.5703125" customWidth="1"/>
    <col min="13" max="13" width="14" customWidth="1"/>
    <col min="14" max="14" width="12.85546875" customWidth="1"/>
    <col min="15" max="15" width="13" customWidth="1"/>
    <col min="16" max="16" width="12.7109375" customWidth="1"/>
    <col min="17" max="17" width="14" customWidth="1"/>
    <col min="18" max="18" width="13.5703125" customWidth="1"/>
    <col min="22" max="22" width="11.28515625" bestFit="1" customWidth="1"/>
    <col min="25" max="25" width="11.28515625" bestFit="1" customWidth="1"/>
  </cols>
  <sheetData>
    <row r="1" spans="1:27" ht="18.75" x14ac:dyDescent="0.3">
      <c r="A1" s="31" t="s">
        <v>225</v>
      </c>
      <c r="B1" s="31"/>
      <c r="T1" s="31"/>
      <c r="U1" s="31"/>
      <c r="V1" s="1"/>
      <c r="W1" s="1"/>
      <c r="X1" s="1"/>
      <c r="Y1" s="1"/>
      <c r="Z1" s="1"/>
      <c r="AA1" s="1"/>
    </row>
    <row r="2" spans="1:27" x14ac:dyDescent="0.25">
      <c r="Q2" s="1"/>
      <c r="R2" s="1"/>
      <c r="T2" s="1"/>
      <c r="U2" s="1"/>
      <c r="V2" s="1"/>
      <c r="W2" s="1"/>
      <c r="X2" s="1"/>
      <c r="Y2" s="1"/>
      <c r="Z2" s="1"/>
      <c r="AA2" s="1"/>
    </row>
    <row r="3" spans="1:27" ht="60" x14ac:dyDescent="0.25">
      <c r="A3" s="37" t="s">
        <v>0</v>
      </c>
      <c r="B3" s="35" t="s">
        <v>116</v>
      </c>
      <c r="C3" s="35" t="s">
        <v>117</v>
      </c>
      <c r="D3" s="49" t="s">
        <v>118</v>
      </c>
      <c r="E3" s="50"/>
      <c r="G3" s="53"/>
      <c r="H3" s="99"/>
      <c r="I3" s="100"/>
      <c r="J3" s="99"/>
      <c r="K3" s="101"/>
      <c r="L3" s="99"/>
      <c r="N3" s="99"/>
      <c r="O3" s="102"/>
      <c r="Q3" s="133"/>
      <c r="R3" s="133"/>
      <c r="T3" s="133"/>
      <c r="U3" s="1"/>
      <c r="V3" s="133"/>
      <c r="W3" s="133"/>
      <c r="X3" s="1"/>
      <c r="Y3" s="1"/>
      <c r="Z3" s="1"/>
      <c r="AA3" s="1"/>
    </row>
    <row r="4" spans="1:27" x14ac:dyDescent="0.25">
      <c r="A4" s="45">
        <v>2007</v>
      </c>
      <c r="B4" s="36">
        <v>3994</v>
      </c>
      <c r="C4" s="39">
        <v>301231207</v>
      </c>
      <c r="D4" s="56">
        <v>13.258918422751599</v>
      </c>
      <c r="E4" s="51"/>
      <c r="F4" s="83"/>
      <c r="G4" s="71"/>
      <c r="H4" s="1"/>
      <c r="I4" s="103"/>
      <c r="J4" s="104"/>
      <c r="K4" s="105"/>
      <c r="L4" s="105"/>
      <c r="N4" s="22"/>
      <c r="O4" s="102"/>
      <c r="Q4" s="55"/>
      <c r="R4" s="134"/>
      <c r="T4" s="53"/>
      <c r="U4" s="54"/>
      <c r="V4" s="55"/>
      <c r="W4" s="134"/>
      <c r="X4" s="135"/>
      <c r="Y4" s="103"/>
      <c r="Z4" s="11"/>
      <c r="AA4" s="1"/>
    </row>
    <row r="5" spans="1:27" x14ac:dyDescent="0.25">
      <c r="A5" s="45">
        <v>2008</v>
      </c>
      <c r="B5" s="36">
        <v>3650</v>
      </c>
      <c r="C5" s="39">
        <v>304093966</v>
      </c>
      <c r="D5" s="56">
        <v>12.002868876391977</v>
      </c>
      <c r="E5" s="51"/>
      <c r="F5" s="83"/>
      <c r="G5" s="71"/>
      <c r="H5" s="1"/>
      <c r="I5" s="103"/>
      <c r="J5" s="104"/>
      <c r="K5" s="105"/>
      <c r="L5" s="105"/>
      <c r="N5" s="22"/>
      <c r="O5" s="106"/>
      <c r="Q5" s="55"/>
      <c r="R5" s="134"/>
      <c r="T5" s="53"/>
      <c r="U5" s="54"/>
      <c r="V5" s="55"/>
      <c r="W5" s="134"/>
      <c r="X5" s="135"/>
      <c r="Y5" s="103"/>
      <c r="Z5" s="11"/>
      <c r="AA5" s="1"/>
    </row>
    <row r="6" spans="1:27" x14ac:dyDescent="0.25">
      <c r="A6" s="45">
        <v>2009</v>
      </c>
      <c r="B6" s="36">
        <v>3391</v>
      </c>
      <c r="C6" s="39">
        <v>306771529</v>
      </c>
      <c r="D6" s="56">
        <v>11.053828922957189</v>
      </c>
      <c r="E6" s="51"/>
      <c r="F6" s="42"/>
      <c r="G6" s="84"/>
      <c r="H6" s="107"/>
      <c r="I6" s="103"/>
      <c r="J6" s="108"/>
      <c r="K6" s="105"/>
      <c r="L6" s="105"/>
      <c r="N6" s="22"/>
      <c r="Q6" s="55"/>
      <c r="R6" s="134"/>
      <c r="T6" s="53"/>
      <c r="U6" s="54"/>
      <c r="V6" s="55"/>
      <c r="W6" s="134"/>
      <c r="X6" s="135"/>
      <c r="Y6" s="103"/>
      <c r="Z6" s="11"/>
      <c r="AA6" s="1"/>
    </row>
    <row r="7" spans="1:27" x14ac:dyDescent="0.25">
      <c r="A7" s="45">
        <v>2010</v>
      </c>
      <c r="B7" s="36">
        <v>3445</v>
      </c>
      <c r="C7" s="39">
        <v>309338421</v>
      </c>
      <c r="D7" s="56">
        <v>11.13631848497657</v>
      </c>
      <c r="E7" s="51"/>
      <c r="G7" s="53"/>
      <c r="H7" s="107"/>
      <c r="I7" s="103"/>
      <c r="J7" s="108"/>
      <c r="K7" s="105"/>
      <c r="L7" s="105"/>
      <c r="N7" s="22"/>
      <c r="Q7" s="55"/>
      <c r="R7" s="134"/>
      <c r="T7" s="53"/>
      <c r="U7" s="54"/>
      <c r="V7" s="55"/>
      <c r="W7" s="134"/>
      <c r="X7" s="135"/>
      <c r="Y7" s="103"/>
      <c r="Z7" s="11"/>
      <c r="AA7" s="1"/>
    </row>
    <row r="8" spans="1:27" x14ac:dyDescent="0.25">
      <c r="A8" s="45">
        <v>2011</v>
      </c>
      <c r="B8" s="36">
        <v>3414</v>
      </c>
      <c r="C8" s="36">
        <v>311644280</v>
      </c>
      <c r="D8" s="56">
        <v>10.954126984667861</v>
      </c>
      <c r="E8" s="51"/>
      <c r="G8" s="53"/>
      <c r="H8" s="107"/>
      <c r="I8" s="103"/>
      <c r="J8" s="109"/>
      <c r="K8" s="105"/>
      <c r="L8" s="105"/>
      <c r="N8" s="22"/>
      <c r="Q8" s="141"/>
      <c r="R8" s="134"/>
      <c r="T8" s="53"/>
      <c r="U8" s="54"/>
      <c r="V8" s="55"/>
      <c r="W8" s="134"/>
      <c r="X8" s="135"/>
      <c r="Y8" s="103"/>
      <c r="Z8" s="11"/>
      <c r="AA8" s="1"/>
    </row>
    <row r="9" spans="1:27" x14ac:dyDescent="0.25">
      <c r="A9" s="45">
        <v>2012</v>
      </c>
      <c r="B9" s="36">
        <v>3146</v>
      </c>
      <c r="C9" s="36">
        <v>313993272</v>
      </c>
      <c r="D9" s="56">
        <v>10.01916000337059</v>
      </c>
      <c r="E9" s="51"/>
      <c r="G9" s="53"/>
      <c r="H9" s="107"/>
      <c r="I9" s="110"/>
      <c r="J9" s="109"/>
      <c r="K9" s="105"/>
      <c r="L9" s="105"/>
      <c r="N9" s="22"/>
      <c r="Q9" s="141"/>
      <c r="R9" s="134"/>
      <c r="T9" s="53"/>
      <c r="U9" s="54"/>
      <c r="V9" s="55"/>
      <c r="W9" s="134"/>
      <c r="X9" s="135"/>
      <c r="Y9" s="103"/>
      <c r="Z9" s="11"/>
      <c r="AA9" s="1"/>
    </row>
    <row r="10" spans="1:27" x14ac:dyDescent="0.25">
      <c r="A10" s="45">
        <v>2013</v>
      </c>
      <c r="B10" s="36">
        <v>3468</v>
      </c>
      <c r="C10" s="36">
        <v>316234505</v>
      </c>
      <c r="D10" s="56">
        <v>10.967571698792227</v>
      </c>
      <c r="E10" s="51"/>
      <c r="G10" s="53"/>
      <c r="H10" s="107"/>
      <c r="I10" s="110"/>
      <c r="J10" s="109"/>
      <c r="K10" s="105"/>
      <c r="L10" s="105"/>
      <c r="N10" s="22"/>
      <c r="Q10" s="141"/>
      <c r="R10" s="134"/>
      <c r="T10" s="53"/>
      <c r="U10" s="54"/>
      <c r="V10" s="54"/>
      <c r="W10" s="134"/>
      <c r="X10" s="135"/>
      <c r="Y10" s="103"/>
      <c r="Z10" s="11"/>
      <c r="AA10" s="1"/>
    </row>
    <row r="11" spans="1:27" x14ac:dyDescent="0.25">
      <c r="A11" s="45">
        <v>2014</v>
      </c>
      <c r="B11" s="36">
        <v>3428</v>
      </c>
      <c r="C11" s="36">
        <v>318622525</v>
      </c>
      <c r="D11" s="56">
        <v>10.760807416654847</v>
      </c>
      <c r="E11" s="51"/>
      <c r="G11" s="53"/>
      <c r="H11" s="107"/>
      <c r="I11" s="110"/>
      <c r="J11" s="109"/>
      <c r="K11" s="105"/>
      <c r="L11" s="105"/>
      <c r="N11" s="22"/>
      <c r="Q11" s="141"/>
      <c r="R11" s="134"/>
      <c r="T11" s="53"/>
      <c r="U11" s="54"/>
      <c r="V11" s="54"/>
      <c r="W11" s="134"/>
      <c r="X11" s="135"/>
      <c r="Y11" s="103"/>
      <c r="Z11" s="11"/>
      <c r="AA11" s="1"/>
    </row>
    <row r="12" spans="1:27" x14ac:dyDescent="0.25">
      <c r="A12" s="45">
        <v>2015</v>
      </c>
      <c r="B12" s="36">
        <v>3362</v>
      </c>
      <c r="C12" s="36">
        <v>321039839</v>
      </c>
      <c r="D12" s="56">
        <v>10.47689446200396</v>
      </c>
      <c r="E12" s="51"/>
      <c r="G12" s="53"/>
      <c r="H12" s="107"/>
      <c r="I12" s="110"/>
      <c r="J12" s="109"/>
      <c r="K12" s="105"/>
      <c r="L12" s="105"/>
      <c r="N12" s="22"/>
      <c r="Q12" s="141"/>
      <c r="R12" s="134"/>
      <c r="T12" s="53"/>
      <c r="U12" s="54"/>
      <c r="V12" s="54"/>
      <c r="W12" s="134"/>
      <c r="X12" s="135"/>
      <c r="Y12" s="103"/>
      <c r="Z12" s="11"/>
      <c r="AA12" s="1"/>
    </row>
    <row r="13" spans="1:27" x14ac:dyDescent="0.25">
      <c r="A13" s="45">
        <v>2016</v>
      </c>
      <c r="B13" s="36">
        <v>3515</v>
      </c>
      <c r="C13" s="36">
        <v>323405935</v>
      </c>
      <c r="D13" s="56">
        <v>10.9</v>
      </c>
      <c r="E13" s="51"/>
      <c r="G13" s="53"/>
      <c r="H13" s="107"/>
      <c r="I13" s="110"/>
      <c r="J13" s="111"/>
      <c r="K13" s="105"/>
      <c r="L13" s="105"/>
      <c r="N13" s="22"/>
      <c r="Q13" s="141"/>
      <c r="R13" s="134"/>
      <c r="T13" s="53"/>
      <c r="U13" s="54"/>
      <c r="V13" s="54"/>
      <c r="W13" s="134"/>
      <c r="X13" s="135"/>
      <c r="Y13" s="103"/>
      <c r="Z13" s="11"/>
      <c r="AA13" s="1"/>
    </row>
    <row r="14" spans="1:27" x14ac:dyDescent="0.25">
      <c r="A14" s="46" t="s">
        <v>156</v>
      </c>
      <c r="B14" s="47"/>
      <c r="C14" s="48"/>
      <c r="D14" s="91">
        <v>-0.158</v>
      </c>
      <c r="E14" s="52"/>
      <c r="G14" s="53"/>
      <c r="I14" s="112"/>
      <c r="J14" s="112"/>
      <c r="K14" s="105"/>
      <c r="L14" s="113"/>
      <c r="Q14" s="137"/>
      <c r="R14" s="138"/>
      <c r="T14" s="136"/>
      <c r="U14" s="53"/>
      <c r="V14" s="137"/>
      <c r="W14" s="138"/>
      <c r="X14" s="139"/>
      <c r="Y14" s="1"/>
      <c r="Z14" s="1"/>
      <c r="AA14" s="1"/>
    </row>
    <row r="15" spans="1:27" x14ac:dyDescent="0.25">
      <c r="A15" s="67" t="s">
        <v>135</v>
      </c>
      <c r="B15" s="67"/>
      <c r="C15" s="68"/>
      <c r="D15" s="68"/>
      <c r="E15" s="69"/>
      <c r="F15" s="42"/>
      <c r="G15" s="70"/>
      <c r="H15" s="71"/>
      <c r="I15" s="72"/>
      <c r="J15" s="73"/>
      <c r="K15" s="42"/>
      <c r="L15" s="42"/>
      <c r="M15" s="42"/>
      <c r="N15" s="42"/>
      <c r="O15" s="42"/>
      <c r="P15" s="42"/>
      <c r="T15" s="140"/>
      <c r="U15" s="140"/>
      <c r="V15" s="68"/>
      <c r="W15" s="68"/>
      <c r="X15" s="69"/>
      <c r="Y15" s="1"/>
      <c r="Z15" s="1"/>
      <c r="AA15" s="1"/>
    </row>
    <row r="16" spans="1:27" x14ac:dyDescent="0.25">
      <c r="A16" s="74" t="s">
        <v>224</v>
      </c>
      <c r="B16" s="74"/>
      <c r="C16" s="68"/>
      <c r="D16" s="68"/>
      <c r="E16" s="69"/>
      <c r="F16" s="42"/>
      <c r="G16" s="42"/>
      <c r="H16" s="42"/>
      <c r="I16" s="42"/>
      <c r="J16" s="42"/>
      <c r="K16" s="42"/>
      <c r="L16" s="42"/>
      <c r="M16" s="42"/>
      <c r="N16" s="42"/>
      <c r="O16" s="42"/>
      <c r="P16" s="42"/>
    </row>
    <row r="17" spans="1:18" x14ac:dyDescent="0.25">
      <c r="A17" s="74" t="s">
        <v>226</v>
      </c>
      <c r="B17" s="74"/>
      <c r="C17" s="42"/>
      <c r="D17" s="42"/>
      <c r="E17" s="42"/>
      <c r="F17" s="42"/>
      <c r="G17" s="42"/>
      <c r="H17" s="42"/>
      <c r="I17" s="42"/>
      <c r="J17" s="42"/>
      <c r="K17" s="42"/>
      <c r="L17" s="42"/>
      <c r="M17" s="42"/>
      <c r="N17" s="42"/>
      <c r="O17" s="42"/>
      <c r="P17" s="42"/>
    </row>
    <row r="18" spans="1:18" x14ac:dyDescent="0.25">
      <c r="A18" s="74" t="s">
        <v>227</v>
      </c>
      <c r="B18" s="74"/>
      <c r="C18" s="42"/>
      <c r="D18" s="42"/>
      <c r="E18" s="42"/>
      <c r="F18" s="42"/>
      <c r="G18" s="42"/>
      <c r="H18" s="42"/>
      <c r="I18" s="42"/>
      <c r="J18" s="42"/>
      <c r="K18" s="42"/>
      <c r="L18" s="42"/>
      <c r="M18" s="42"/>
      <c r="N18" s="42"/>
      <c r="O18" s="42"/>
      <c r="P18" s="42"/>
    </row>
    <row r="19" spans="1:18" x14ac:dyDescent="0.25">
      <c r="A19" s="74" t="s">
        <v>136</v>
      </c>
      <c r="B19" s="74"/>
      <c r="C19" s="42"/>
      <c r="D19" s="42"/>
      <c r="E19" s="42"/>
      <c r="F19" s="42"/>
      <c r="G19" s="42"/>
      <c r="H19" s="42"/>
      <c r="I19" s="42"/>
      <c r="J19" s="42"/>
      <c r="K19" s="42"/>
      <c r="L19" s="42"/>
      <c r="M19" s="42"/>
      <c r="N19" s="42"/>
      <c r="O19" s="42"/>
      <c r="P19" s="42"/>
    </row>
    <row r="20" spans="1:18" x14ac:dyDescent="0.25">
      <c r="A20" s="74"/>
      <c r="B20" s="74"/>
      <c r="C20" s="42"/>
      <c r="D20" s="42"/>
      <c r="E20" s="42"/>
      <c r="F20" s="42"/>
      <c r="G20" s="42"/>
      <c r="H20" s="42"/>
      <c r="I20" s="42"/>
      <c r="J20" s="42"/>
      <c r="K20" s="42"/>
      <c r="L20" s="42"/>
      <c r="M20" s="42"/>
      <c r="N20" s="42"/>
      <c r="O20" s="42"/>
      <c r="P20" s="42"/>
    </row>
    <row r="21" spans="1:18" ht="18.75" x14ac:dyDescent="0.3">
      <c r="A21" s="31" t="s">
        <v>221</v>
      </c>
      <c r="B21" s="75"/>
      <c r="C21" s="42"/>
      <c r="D21" s="42"/>
      <c r="E21" s="42"/>
      <c r="F21" s="42"/>
      <c r="G21" s="42"/>
      <c r="H21" s="42"/>
      <c r="I21" s="42"/>
      <c r="J21" s="42"/>
      <c r="K21" s="42"/>
      <c r="L21" s="42"/>
      <c r="M21" s="42"/>
      <c r="N21" s="42"/>
      <c r="O21" s="42"/>
      <c r="P21" s="42"/>
    </row>
    <row r="22" spans="1:18" ht="18.75" x14ac:dyDescent="0.3">
      <c r="A22" s="31"/>
      <c r="B22" s="75"/>
      <c r="C22" s="42"/>
      <c r="D22" s="42"/>
      <c r="E22" s="42"/>
      <c r="F22" s="42"/>
      <c r="G22" s="42"/>
      <c r="H22" s="42"/>
      <c r="I22" s="42"/>
      <c r="J22" s="42"/>
      <c r="K22" s="42"/>
      <c r="L22" s="42"/>
      <c r="M22" s="42"/>
      <c r="N22" s="42"/>
      <c r="O22" s="42"/>
      <c r="P22" s="42"/>
    </row>
    <row r="23" spans="1:18" ht="86.25" x14ac:dyDescent="0.25">
      <c r="A23" s="24" t="s">
        <v>92</v>
      </c>
      <c r="B23" s="25" t="s">
        <v>146</v>
      </c>
      <c r="C23" s="25" t="s">
        <v>93</v>
      </c>
      <c r="D23" s="26" t="s">
        <v>94</v>
      </c>
      <c r="E23" s="26" t="s">
        <v>95</v>
      </c>
      <c r="F23" s="26" t="s">
        <v>96</v>
      </c>
      <c r="G23" s="26" t="s">
        <v>97</v>
      </c>
      <c r="H23" s="26" t="s">
        <v>98</v>
      </c>
      <c r="I23" s="25" t="s">
        <v>99</v>
      </c>
      <c r="J23" s="25" t="s">
        <v>100</v>
      </c>
      <c r="K23" s="27" t="s">
        <v>101</v>
      </c>
      <c r="L23" s="25" t="s">
        <v>102</v>
      </c>
      <c r="M23" s="25" t="s">
        <v>147</v>
      </c>
      <c r="N23" s="57" t="s">
        <v>157</v>
      </c>
      <c r="O23" s="57" t="s">
        <v>158</v>
      </c>
      <c r="P23" s="115" t="s">
        <v>162</v>
      </c>
      <c r="Q23" s="118" t="s">
        <v>168</v>
      </c>
      <c r="R23" s="57" t="s">
        <v>220</v>
      </c>
    </row>
    <row r="24" spans="1:18" x14ac:dyDescent="0.25">
      <c r="A24" s="23" t="s">
        <v>45</v>
      </c>
      <c r="B24" s="5">
        <v>29.9</v>
      </c>
      <c r="C24" s="10">
        <v>30.7</v>
      </c>
      <c r="D24" s="10">
        <v>20.6</v>
      </c>
      <c r="E24" s="10">
        <v>26.5</v>
      </c>
      <c r="F24" s="10">
        <v>27.1</v>
      </c>
      <c r="G24" s="10">
        <v>28</v>
      </c>
      <c r="H24" s="10">
        <v>23.5</v>
      </c>
      <c r="I24" s="10">
        <v>22.63953717023897</v>
      </c>
      <c r="J24" s="10">
        <v>22.465231844401952</v>
      </c>
      <c r="K24" s="10">
        <v>21.23724809438173</v>
      </c>
      <c r="L24" s="10">
        <v>28.2</v>
      </c>
      <c r="M24" s="10">
        <v>23.7</v>
      </c>
      <c r="N24" s="61">
        <v>18.7</v>
      </c>
      <c r="O24" s="61">
        <v>20.479950748821473</v>
      </c>
      <c r="P24" s="116">
        <v>20.6</v>
      </c>
      <c r="Q24" s="21">
        <v>21.8</v>
      </c>
      <c r="R24" s="10">
        <v>22.2</v>
      </c>
    </row>
    <row r="25" spans="1:18" x14ac:dyDescent="0.25">
      <c r="A25" s="23" t="s">
        <v>80</v>
      </c>
      <c r="B25" s="5">
        <v>25.5</v>
      </c>
      <c r="C25" s="10">
        <v>25.3</v>
      </c>
      <c r="D25" s="10">
        <v>17.100000000000001</v>
      </c>
      <c r="E25" s="10">
        <v>10.8</v>
      </c>
      <c r="F25" s="10">
        <v>10.6</v>
      </c>
      <c r="G25" s="10">
        <v>23.9</v>
      </c>
      <c r="H25" s="10">
        <v>25.1</v>
      </c>
      <c r="I25" s="10">
        <v>24.915835772398236</v>
      </c>
      <c r="J25" s="10">
        <v>17.504653320340989</v>
      </c>
      <c r="K25" s="10">
        <v>14.316945680076396</v>
      </c>
      <c r="L25" s="10">
        <v>15.4</v>
      </c>
      <c r="M25" s="10">
        <v>16.600000000000001</v>
      </c>
      <c r="N25" s="61">
        <v>24.6</v>
      </c>
      <c r="O25" s="61">
        <v>16.276505271553145</v>
      </c>
      <c r="P25" s="116">
        <v>17.600000000000001</v>
      </c>
      <c r="Q25" s="21">
        <v>19</v>
      </c>
      <c r="R25" s="10">
        <v>25.6</v>
      </c>
    </row>
    <row r="26" spans="1:18" x14ac:dyDescent="0.25">
      <c r="A26" s="23" t="s">
        <v>67</v>
      </c>
      <c r="B26" s="5">
        <v>11.4</v>
      </c>
      <c r="C26" s="10">
        <v>11.7</v>
      </c>
      <c r="D26" s="10">
        <v>10.5</v>
      </c>
      <c r="E26" s="10">
        <v>12.4</v>
      </c>
      <c r="F26" s="10">
        <v>7.5</v>
      </c>
      <c r="G26" s="10">
        <v>12.9</v>
      </c>
      <c r="H26" s="10">
        <v>9.1999999999999993</v>
      </c>
      <c r="I26" s="10">
        <v>7.8588660819355951</v>
      </c>
      <c r="J26" s="10">
        <v>9.5396253727570155</v>
      </c>
      <c r="K26" s="10">
        <v>6.8225461802989731</v>
      </c>
      <c r="L26" s="10">
        <v>5.5</v>
      </c>
      <c r="M26" s="10">
        <v>7.7</v>
      </c>
      <c r="N26" s="61">
        <v>8.6999999999999993</v>
      </c>
      <c r="O26" s="61">
        <v>12.057277493870759</v>
      </c>
      <c r="P26" s="116">
        <v>6.8</v>
      </c>
      <c r="Q26" s="21">
        <v>6.2</v>
      </c>
      <c r="R26" s="10">
        <v>8.4</v>
      </c>
    </row>
    <row r="27" spans="1:18" x14ac:dyDescent="0.25">
      <c r="A27" s="23" t="s">
        <v>64</v>
      </c>
      <c r="B27" s="5">
        <v>29.5</v>
      </c>
      <c r="C27" s="10">
        <v>35.299999999999997</v>
      </c>
      <c r="D27" s="10">
        <v>24.1</v>
      </c>
      <c r="E27" s="10">
        <v>21.3</v>
      </c>
      <c r="F27" s="10">
        <v>25.9</v>
      </c>
      <c r="G27" s="10">
        <v>31.8</v>
      </c>
      <c r="H27" s="10">
        <v>23.2</v>
      </c>
      <c r="I27" s="10">
        <v>26.036224128261477</v>
      </c>
      <c r="J27" s="10">
        <v>24.066137932453678</v>
      </c>
      <c r="K27" s="10">
        <v>28.725189915035735</v>
      </c>
      <c r="L27" s="10">
        <v>13.3</v>
      </c>
      <c r="M27" s="10">
        <v>15.3</v>
      </c>
      <c r="N27" s="61">
        <v>24.1</v>
      </c>
      <c r="O27" s="61">
        <v>20.278731159791334</v>
      </c>
      <c r="P27" s="116">
        <v>17.5</v>
      </c>
      <c r="Q27" s="21">
        <v>24.2</v>
      </c>
      <c r="R27" s="10">
        <v>20.7</v>
      </c>
    </row>
    <row r="28" spans="1:18" x14ac:dyDescent="0.25">
      <c r="A28" s="23" t="s">
        <v>38</v>
      </c>
      <c r="B28" s="5">
        <v>7.4</v>
      </c>
      <c r="C28" s="10">
        <v>6.8</v>
      </c>
      <c r="D28" s="10">
        <v>7.9</v>
      </c>
      <c r="E28" s="10">
        <v>8</v>
      </c>
      <c r="F28" s="10">
        <v>8.1</v>
      </c>
      <c r="G28" s="10">
        <v>7.1</v>
      </c>
      <c r="H28" s="10">
        <v>8.1999999999999993</v>
      </c>
      <c r="I28" s="10">
        <v>8.2261082210234928</v>
      </c>
      <c r="J28" s="10">
        <v>5.5558584365080881</v>
      </c>
      <c r="K28" s="10">
        <v>5.4921769755820522</v>
      </c>
      <c r="L28" s="10">
        <v>6.3</v>
      </c>
      <c r="M28" s="10">
        <v>6.2</v>
      </c>
      <c r="N28" s="61">
        <v>5.3</v>
      </c>
      <c r="O28" s="61">
        <v>6.0107110871573139</v>
      </c>
      <c r="P28" s="116">
        <v>4.9000000000000004</v>
      </c>
      <c r="Q28" s="21">
        <v>5.5</v>
      </c>
      <c r="R28" s="10">
        <v>6.5</v>
      </c>
    </row>
    <row r="29" spans="1:18" x14ac:dyDescent="0.25">
      <c r="A29" s="23" t="s">
        <v>66</v>
      </c>
      <c r="B29" s="5">
        <v>5.8</v>
      </c>
      <c r="C29" s="10">
        <v>6.5</v>
      </c>
      <c r="D29" s="10">
        <v>5.8</v>
      </c>
      <c r="E29" s="10">
        <v>6.4</v>
      </c>
      <c r="F29" s="10">
        <v>5.2</v>
      </c>
      <c r="G29" s="10">
        <v>7.7</v>
      </c>
      <c r="H29" s="10">
        <v>7.8</v>
      </c>
      <c r="I29" s="10">
        <v>8.260607290935905</v>
      </c>
      <c r="J29" s="10">
        <v>9.3331353085493962</v>
      </c>
      <c r="K29" s="10">
        <v>5.9704486672764485</v>
      </c>
      <c r="L29" s="10">
        <v>7.1</v>
      </c>
      <c r="M29" s="10">
        <v>8.4</v>
      </c>
      <c r="N29" s="61">
        <v>6.5</v>
      </c>
      <c r="O29" s="61">
        <v>4.93163427151985</v>
      </c>
      <c r="P29" s="116">
        <v>5.8</v>
      </c>
      <c r="Q29" s="21">
        <v>6.6</v>
      </c>
      <c r="R29" s="10">
        <v>8.3000000000000007</v>
      </c>
    </row>
    <row r="30" spans="1:18" x14ac:dyDescent="0.25">
      <c r="A30" s="23" t="s">
        <v>70</v>
      </c>
      <c r="B30" s="5">
        <v>7.6</v>
      </c>
      <c r="C30" s="10">
        <v>9.6</v>
      </c>
      <c r="D30" s="10">
        <v>9.3000000000000007</v>
      </c>
      <c r="E30" s="10">
        <v>11.5</v>
      </c>
      <c r="F30" s="10">
        <v>10.4</v>
      </c>
      <c r="G30" s="10">
        <v>9.5</v>
      </c>
      <c r="H30" s="10">
        <v>6.6</v>
      </c>
      <c r="I30" s="10">
        <v>9.1726472804677357</v>
      </c>
      <c r="J30" s="10">
        <v>8.8504064335031849</v>
      </c>
      <c r="K30" s="10">
        <v>9.0953327300095967</v>
      </c>
      <c r="L30" s="10">
        <v>7</v>
      </c>
      <c r="M30" s="10">
        <v>9.5</v>
      </c>
      <c r="N30" s="61">
        <v>7.5</v>
      </c>
      <c r="O30" s="61">
        <v>7.2235445321796412</v>
      </c>
      <c r="P30" s="116">
        <v>8.1</v>
      </c>
      <c r="Q30" s="21">
        <v>6.4</v>
      </c>
      <c r="R30" s="10">
        <v>5.3</v>
      </c>
    </row>
    <row r="31" spans="1:18" x14ac:dyDescent="0.25">
      <c r="A31" s="23" t="s">
        <v>77</v>
      </c>
      <c r="B31" s="5">
        <v>10.199999999999999</v>
      </c>
      <c r="C31" s="10">
        <v>25.1</v>
      </c>
      <c r="D31" s="10">
        <v>3.7</v>
      </c>
      <c r="E31" s="10">
        <v>3.7</v>
      </c>
      <c r="F31" s="10">
        <v>13.3</v>
      </c>
      <c r="G31" s="10">
        <v>10.7</v>
      </c>
      <c r="H31" s="10">
        <v>10.6</v>
      </c>
      <c r="I31" s="10">
        <v>13.874500517981353</v>
      </c>
      <c r="J31" s="10">
        <v>9.1241500283989172</v>
      </c>
      <c r="K31" s="10">
        <v>5.6489387903588435</v>
      </c>
      <c r="L31" s="10">
        <v>15.6</v>
      </c>
      <c r="M31" s="59" t="s">
        <v>104</v>
      </c>
      <c r="N31" s="61" t="s">
        <v>104</v>
      </c>
      <c r="O31" s="61">
        <v>14.050408542648393</v>
      </c>
      <c r="P31" s="116">
        <v>11.8</v>
      </c>
      <c r="Q31" s="119" t="s">
        <v>104</v>
      </c>
      <c r="R31" s="61" t="s">
        <v>104</v>
      </c>
    </row>
    <row r="32" spans="1:18" x14ac:dyDescent="0.25">
      <c r="A32" s="23" t="s">
        <v>69</v>
      </c>
      <c r="B32" s="5">
        <v>42</v>
      </c>
      <c r="C32" s="10">
        <v>27.7</v>
      </c>
      <c r="D32" s="10">
        <v>24.2</v>
      </c>
      <c r="E32" s="10">
        <v>26</v>
      </c>
      <c r="F32" s="10">
        <v>43.1</v>
      </c>
      <c r="G32" s="10">
        <v>34.4</v>
      </c>
      <c r="H32" s="10">
        <v>34.200000000000003</v>
      </c>
      <c r="I32" s="10">
        <v>39.221771835016177</v>
      </c>
      <c r="J32" s="10">
        <v>32.207265620100046</v>
      </c>
      <c r="K32" s="10">
        <v>33.352399788545782</v>
      </c>
      <c r="L32" s="10">
        <v>41.3</v>
      </c>
      <c r="M32" s="10">
        <v>27.4</v>
      </c>
      <c r="N32" s="61">
        <v>20.5</v>
      </c>
      <c r="O32" s="61">
        <v>30.811371244671559</v>
      </c>
      <c r="P32" s="116">
        <v>21.2</v>
      </c>
      <c r="Q32" s="21">
        <v>28.3</v>
      </c>
      <c r="R32" s="10">
        <v>17.5</v>
      </c>
    </row>
    <row r="33" spans="1:18" x14ac:dyDescent="0.25">
      <c r="A33" s="23" t="s">
        <v>43</v>
      </c>
      <c r="B33" s="5">
        <v>9.9</v>
      </c>
      <c r="C33" s="10">
        <v>10.8</v>
      </c>
      <c r="D33" s="10">
        <v>8.4</v>
      </c>
      <c r="E33" s="10">
        <v>10.3</v>
      </c>
      <c r="F33" s="10">
        <v>11</v>
      </c>
      <c r="G33" s="10">
        <v>9.5</v>
      </c>
      <c r="H33" s="10">
        <v>8.9</v>
      </c>
      <c r="I33" s="10">
        <v>9.7932540127174423</v>
      </c>
      <c r="J33" s="10">
        <v>8.4735446972149902</v>
      </c>
      <c r="K33" s="10">
        <v>8.8467080724970462</v>
      </c>
      <c r="L33" s="10">
        <v>7.6</v>
      </c>
      <c r="M33" s="10">
        <v>6.4</v>
      </c>
      <c r="N33" s="61">
        <v>7.1</v>
      </c>
      <c r="O33" s="61">
        <v>5.8672538410232367</v>
      </c>
      <c r="P33" s="116">
        <v>7</v>
      </c>
      <c r="Q33" s="21">
        <v>7.9</v>
      </c>
      <c r="R33" s="10">
        <v>7.1</v>
      </c>
    </row>
    <row r="34" spans="1:18" x14ac:dyDescent="0.25">
      <c r="A34" s="23" t="s">
        <v>40</v>
      </c>
      <c r="B34" s="5">
        <v>20.8</v>
      </c>
      <c r="C34" s="10">
        <v>21.5</v>
      </c>
      <c r="D34" s="10">
        <v>21.6</v>
      </c>
      <c r="E34" s="10">
        <v>19.899999999999999</v>
      </c>
      <c r="F34" s="10">
        <v>20</v>
      </c>
      <c r="G34" s="10">
        <v>17.899999999999999</v>
      </c>
      <c r="H34" s="10">
        <v>18.8</v>
      </c>
      <c r="I34" s="10">
        <v>18.775381509983312</v>
      </c>
      <c r="J34" s="10">
        <v>14.860256316718294</v>
      </c>
      <c r="K34" s="10">
        <v>16.481485645185558</v>
      </c>
      <c r="L34" s="10">
        <v>16.899999999999999</v>
      </c>
      <c r="M34" s="10">
        <v>16.899999999999999</v>
      </c>
      <c r="N34" s="61">
        <v>13</v>
      </c>
      <c r="O34" s="61">
        <v>17.509176559434799</v>
      </c>
      <c r="P34" s="116">
        <v>15.6</v>
      </c>
      <c r="Q34" s="21">
        <v>14</v>
      </c>
      <c r="R34" s="10">
        <v>18</v>
      </c>
    </row>
    <row r="35" spans="1:18" x14ac:dyDescent="0.25">
      <c r="A35" s="23" t="s">
        <v>103</v>
      </c>
      <c r="B35" s="5">
        <v>10.7</v>
      </c>
      <c r="C35" s="10">
        <v>4.0999999999999996</v>
      </c>
      <c r="D35" s="10">
        <v>3.3</v>
      </c>
      <c r="E35" s="10">
        <v>3.2</v>
      </c>
      <c r="F35" s="10">
        <v>10.4</v>
      </c>
      <c r="G35" s="10">
        <v>5.5</v>
      </c>
      <c r="H35" s="10">
        <v>5.5</v>
      </c>
      <c r="I35" s="10">
        <v>3.9159419563419466</v>
      </c>
      <c r="J35" s="10">
        <v>1.5624987792978287</v>
      </c>
      <c r="K35" s="10">
        <v>3.8604732322507025</v>
      </c>
      <c r="L35" s="28" t="s">
        <v>104</v>
      </c>
      <c r="M35" s="59" t="s">
        <v>104</v>
      </c>
      <c r="N35" s="61" t="s">
        <v>104</v>
      </c>
      <c r="O35" s="61">
        <v>7.0972975620073138</v>
      </c>
      <c r="P35" s="116" t="s">
        <v>104</v>
      </c>
      <c r="Q35" s="21">
        <v>7.7</v>
      </c>
      <c r="R35" s="61" t="s">
        <v>104</v>
      </c>
    </row>
    <row r="36" spans="1:18" x14ac:dyDescent="0.25">
      <c r="A36" s="23" t="s">
        <v>73</v>
      </c>
      <c r="B36" s="5">
        <v>6.9</v>
      </c>
      <c r="C36" s="10">
        <v>6.8</v>
      </c>
      <c r="D36" s="10">
        <v>6.7</v>
      </c>
      <c r="E36" s="10">
        <v>9.5</v>
      </c>
      <c r="F36" s="10">
        <v>7.2</v>
      </c>
      <c r="G36" s="10">
        <v>14.7</v>
      </c>
      <c r="H36" s="10">
        <v>16.399999999999999</v>
      </c>
      <c r="I36" s="10">
        <v>8.6710310856464421</v>
      </c>
      <c r="J36" s="10">
        <v>3.9310880268886423</v>
      </c>
      <c r="K36" s="10">
        <v>5.1753104054144101</v>
      </c>
      <c r="L36" s="10">
        <v>12.1</v>
      </c>
      <c r="M36" s="10">
        <v>6.9</v>
      </c>
      <c r="N36" s="61" t="s">
        <v>104</v>
      </c>
      <c r="O36" s="61">
        <v>8.6803241233027641</v>
      </c>
      <c r="P36" s="117" t="s">
        <v>104</v>
      </c>
      <c r="Q36" s="21">
        <v>8.5</v>
      </c>
      <c r="R36" s="10">
        <v>9.5</v>
      </c>
    </row>
    <row r="37" spans="1:18" x14ac:dyDescent="0.25">
      <c r="A37" s="23" t="s">
        <v>49</v>
      </c>
      <c r="B37" s="5">
        <v>16.100000000000001</v>
      </c>
      <c r="C37" s="10">
        <v>14.6</v>
      </c>
      <c r="D37" s="10">
        <v>13.2</v>
      </c>
      <c r="E37" s="10">
        <v>13.4</v>
      </c>
      <c r="F37" s="10">
        <v>11.7</v>
      </c>
      <c r="G37" s="10">
        <v>10.3</v>
      </c>
      <c r="H37" s="10">
        <v>11</v>
      </c>
      <c r="I37" s="10">
        <v>14.163400411771523</v>
      </c>
      <c r="J37" s="10">
        <v>10.828579534981843</v>
      </c>
      <c r="K37" s="10">
        <v>8.442799914394655</v>
      </c>
      <c r="L37" s="10">
        <v>8.5</v>
      </c>
      <c r="M37" s="10">
        <v>10.199999999999999</v>
      </c>
      <c r="N37" s="61">
        <v>9.5</v>
      </c>
      <c r="O37" s="61">
        <v>9.8521770052981452</v>
      </c>
      <c r="P37" s="117">
        <v>10.1</v>
      </c>
      <c r="Q37" s="21">
        <v>9.6999999999999993</v>
      </c>
      <c r="R37" s="10">
        <v>10.6</v>
      </c>
    </row>
    <row r="38" spans="1:18" x14ac:dyDescent="0.25">
      <c r="A38" s="23" t="s">
        <v>50</v>
      </c>
      <c r="B38" s="5">
        <v>16.100000000000001</v>
      </c>
      <c r="C38" s="10">
        <v>19.899999999999999</v>
      </c>
      <c r="D38" s="10">
        <v>14.2</v>
      </c>
      <c r="E38" s="10">
        <v>16.2</v>
      </c>
      <c r="F38" s="10">
        <v>18</v>
      </c>
      <c r="G38" s="10">
        <v>15</v>
      </c>
      <c r="H38" s="10">
        <v>18.3</v>
      </c>
      <c r="I38" s="10">
        <v>15.600100407918989</v>
      </c>
      <c r="J38" s="10">
        <v>12.995958256982078</v>
      </c>
      <c r="K38" s="10">
        <v>12.455019863421366</v>
      </c>
      <c r="L38" s="10">
        <v>14.6</v>
      </c>
      <c r="M38" s="10">
        <v>12.1</v>
      </c>
      <c r="N38" s="61">
        <v>12.1</v>
      </c>
      <c r="O38" s="61">
        <v>14.153715129545303</v>
      </c>
      <c r="P38" s="117">
        <v>16.100000000000001</v>
      </c>
      <c r="Q38" s="21">
        <v>11.6</v>
      </c>
      <c r="R38" s="10">
        <v>11.5</v>
      </c>
    </row>
    <row r="39" spans="1:18" x14ac:dyDescent="0.25">
      <c r="A39" s="23" t="s">
        <v>68</v>
      </c>
      <c r="B39" s="5">
        <v>19.5</v>
      </c>
      <c r="C39" s="10">
        <v>10.6</v>
      </c>
      <c r="D39" s="10">
        <v>9.1999999999999993</v>
      </c>
      <c r="E39" s="10">
        <v>14.3</v>
      </c>
      <c r="F39" s="10">
        <v>15</v>
      </c>
      <c r="G39" s="10">
        <v>15.9</v>
      </c>
      <c r="H39" s="10">
        <v>10.8</v>
      </c>
      <c r="I39" s="10">
        <v>8.7285843344068361</v>
      </c>
      <c r="J39" s="10">
        <v>15.694613541846847</v>
      </c>
      <c r="K39" s="10">
        <v>13.298508971174153</v>
      </c>
      <c r="L39" s="10">
        <v>10.8</v>
      </c>
      <c r="M39" s="10">
        <v>13.4</v>
      </c>
      <c r="N39" s="61">
        <v>14.3</v>
      </c>
      <c r="O39" s="61">
        <v>10.34814724508067</v>
      </c>
      <c r="P39" s="117">
        <v>15.1</v>
      </c>
      <c r="Q39" s="21">
        <v>9.6</v>
      </c>
      <c r="R39" s="10">
        <v>17.2</v>
      </c>
    </row>
    <row r="40" spans="1:18" x14ac:dyDescent="0.25">
      <c r="A40" s="23" t="s">
        <v>63</v>
      </c>
      <c r="B40" s="5">
        <v>20.100000000000001</v>
      </c>
      <c r="C40" s="10">
        <v>22.2</v>
      </c>
      <c r="D40" s="10">
        <v>18.8</v>
      </c>
      <c r="E40" s="10">
        <v>14.3</v>
      </c>
      <c r="F40" s="10">
        <v>17.600000000000001</v>
      </c>
      <c r="G40" s="10">
        <v>14.2</v>
      </c>
      <c r="H40" s="10">
        <v>27.2</v>
      </c>
      <c r="I40" s="10">
        <v>17.293645377949019</v>
      </c>
      <c r="J40" s="10">
        <v>14.309954326203279</v>
      </c>
      <c r="K40" s="10">
        <v>14.900237587836013</v>
      </c>
      <c r="L40" s="10">
        <v>14</v>
      </c>
      <c r="M40" s="10">
        <v>19.899999999999999</v>
      </c>
      <c r="N40" s="61">
        <v>13.2</v>
      </c>
      <c r="O40" s="61">
        <v>14.849086660305732</v>
      </c>
      <c r="P40" s="117">
        <v>16.5</v>
      </c>
      <c r="Q40" s="21">
        <v>15.8</v>
      </c>
      <c r="R40" s="10">
        <v>18.2</v>
      </c>
    </row>
    <row r="41" spans="1:18" x14ac:dyDescent="0.25">
      <c r="A41" s="23" t="s">
        <v>54</v>
      </c>
      <c r="B41" s="5">
        <v>23.2</v>
      </c>
      <c r="C41" s="10">
        <v>18.399999999999999</v>
      </c>
      <c r="D41" s="10">
        <v>18.8</v>
      </c>
      <c r="E41" s="10">
        <v>21.6</v>
      </c>
      <c r="F41" s="10">
        <v>20.100000000000001</v>
      </c>
      <c r="G41" s="10">
        <v>24.2</v>
      </c>
      <c r="H41" s="10">
        <v>17.600000000000001</v>
      </c>
      <c r="I41" s="10">
        <v>18.560817690949698</v>
      </c>
      <c r="J41" s="10">
        <v>16.793946901738384</v>
      </c>
      <c r="K41" s="10">
        <v>19.23918080031747</v>
      </c>
      <c r="L41" s="10">
        <v>17.5</v>
      </c>
      <c r="M41" s="10">
        <v>16</v>
      </c>
      <c r="N41" s="61">
        <v>18.7</v>
      </c>
      <c r="O41" s="61">
        <v>18.638130022777158</v>
      </c>
      <c r="P41" s="117">
        <v>16.100000000000001</v>
      </c>
      <c r="Q41" s="21">
        <v>16.3</v>
      </c>
      <c r="R41" s="10">
        <v>19.8</v>
      </c>
    </row>
    <row r="42" spans="1:18" x14ac:dyDescent="0.25">
      <c r="A42" s="23" t="s">
        <v>51</v>
      </c>
      <c r="B42" s="5">
        <v>27.7</v>
      </c>
      <c r="C42" s="10">
        <v>25.5</v>
      </c>
      <c r="D42" s="10">
        <v>26.7</v>
      </c>
      <c r="E42" s="10">
        <v>20.6</v>
      </c>
      <c r="F42" s="10">
        <v>22.5</v>
      </c>
      <c r="G42" s="10">
        <v>28.5</v>
      </c>
      <c r="H42" s="10">
        <v>21.7</v>
      </c>
      <c r="I42" s="10">
        <v>23.765333781827838</v>
      </c>
      <c r="J42" s="10">
        <v>21.354044208715774</v>
      </c>
      <c r="K42" s="10">
        <v>14.692538594627518</v>
      </c>
      <c r="L42" s="10">
        <v>19.8</v>
      </c>
      <c r="M42" s="10">
        <v>18.8</v>
      </c>
      <c r="N42" s="61">
        <v>13.9</v>
      </c>
      <c r="O42" s="61">
        <v>14.04104824849804</v>
      </c>
      <c r="P42" s="117">
        <v>18.100000000000001</v>
      </c>
      <c r="Q42" s="21">
        <v>17.8</v>
      </c>
      <c r="R42" s="10">
        <v>16</v>
      </c>
    </row>
    <row r="43" spans="1:18" x14ac:dyDescent="0.25">
      <c r="A43" s="23" t="s">
        <v>105</v>
      </c>
      <c r="B43" s="5">
        <v>14.1</v>
      </c>
      <c r="C43" s="10">
        <v>12.4</v>
      </c>
      <c r="D43" s="10">
        <v>10</v>
      </c>
      <c r="E43" s="10">
        <v>10.7</v>
      </c>
      <c r="F43" s="10">
        <v>6.1</v>
      </c>
      <c r="G43" s="10">
        <v>13</v>
      </c>
      <c r="H43" s="10">
        <v>9.9</v>
      </c>
      <c r="I43" s="10">
        <v>6.832115192498641</v>
      </c>
      <c r="J43" s="10">
        <v>8.3451366440260575</v>
      </c>
      <c r="K43" s="10">
        <v>9.1026252729839392</v>
      </c>
      <c r="L43" s="28" t="s">
        <v>104</v>
      </c>
      <c r="M43" s="10">
        <v>15.1</v>
      </c>
      <c r="N43" s="61">
        <v>12</v>
      </c>
      <c r="O43" s="61">
        <v>12.041827287081677</v>
      </c>
      <c r="P43" s="117">
        <v>15.8</v>
      </c>
      <c r="Q43" s="21">
        <v>11.3</v>
      </c>
      <c r="R43" s="10">
        <v>12.8</v>
      </c>
    </row>
    <row r="44" spans="1:18" x14ac:dyDescent="0.25">
      <c r="A44" s="23" t="s">
        <v>57</v>
      </c>
      <c r="B44" s="5">
        <v>11.7</v>
      </c>
      <c r="C44" s="10">
        <v>15.1</v>
      </c>
      <c r="D44" s="10">
        <v>13.1</v>
      </c>
      <c r="E44" s="10">
        <v>10</v>
      </c>
      <c r="F44" s="10">
        <v>14.1</v>
      </c>
      <c r="G44" s="10">
        <v>11.5</v>
      </c>
      <c r="H44" s="10">
        <v>9.8000000000000007</v>
      </c>
      <c r="I44" s="10">
        <v>16.151240930013302</v>
      </c>
      <c r="J44" s="10">
        <v>10.794797969162271</v>
      </c>
      <c r="K44" s="10">
        <v>11.404553188906071</v>
      </c>
      <c r="L44" s="10">
        <v>12.3</v>
      </c>
      <c r="M44" s="10">
        <v>8.6</v>
      </c>
      <c r="N44" s="61">
        <v>6.6</v>
      </c>
      <c r="O44" s="61">
        <v>10.776702184319664</v>
      </c>
      <c r="P44" s="117">
        <v>9.1999999999999993</v>
      </c>
      <c r="Q44" s="21">
        <v>7.8</v>
      </c>
      <c r="R44" s="10">
        <v>9.1</v>
      </c>
    </row>
    <row r="45" spans="1:18" x14ac:dyDescent="0.25">
      <c r="A45" s="23" t="s">
        <v>65</v>
      </c>
      <c r="B45" s="5">
        <v>10.8</v>
      </c>
      <c r="C45" s="10">
        <v>10.6</v>
      </c>
      <c r="D45" s="10">
        <v>11.2</v>
      </c>
      <c r="E45" s="10">
        <v>10.9</v>
      </c>
      <c r="F45" s="10">
        <v>7.5</v>
      </c>
      <c r="G45" s="10">
        <v>7.5</v>
      </c>
      <c r="H45" s="10">
        <v>5.4</v>
      </c>
      <c r="I45" s="10">
        <v>6.9238491985644552</v>
      </c>
      <c r="J45" s="10">
        <v>7.6404828846306954</v>
      </c>
      <c r="K45" s="10">
        <v>5.3081880924601439</v>
      </c>
      <c r="L45" s="10">
        <v>5.6</v>
      </c>
      <c r="M45" s="10">
        <v>6.2</v>
      </c>
      <c r="N45" s="61">
        <v>4.8</v>
      </c>
      <c r="O45" s="61">
        <v>6.1113086935303897</v>
      </c>
      <c r="P45" s="117">
        <v>6.4</v>
      </c>
      <c r="Q45" s="21">
        <v>7.8</v>
      </c>
      <c r="R45" s="10">
        <v>6.2</v>
      </c>
    </row>
    <row r="46" spans="1:18" x14ac:dyDescent="0.25">
      <c r="A46" s="23" t="s">
        <v>46</v>
      </c>
      <c r="B46" s="5">
        <v>17.3</v>
      </c>
      <c r="C46" s="10">
        <v>16.399999999999999</v>
      </c>
      <c r="D46" s="10">
        <v>16.600000000000001</v>
      </c>
      <c r="E46" s="10">
        <v>16.100000000000001</v>
      </c>
      <c r="F46" s="10">
        <v>14.7</v>
      </c>
      <c r="G46" s="10">
        <v>15.8</v>
      </c>
      <c r="H46" s="10">
        <v>14</v>
      </c>
      <c r="I46" s="10">
        <v>15.42158586236563</v>
      </c>
      <c r="J46" s="10">
        <v>14.800805163800911</v>
      </c>
      <c r="K46" s="10">
        <v>16.449798474923135</v>
      </c>
      <c r="L46" s="10">
        <v>13.3</v>
      </c>
      <c r="M46" s="10">
        <v>12.5</v>
      </c>
      <c r="N46" s="61">
        <v>12.2</v>
      </c>
      <c r="O46" s="61">
        <v>15.457366814326615</v>
      </c>
      <c r="P46" s="117">
        <v>14.2</v>
      </c>
      <c r="Q46" s="21">
        <v>10.4</v>
      </c>
      <c r="R46" s="10">
        <v>12.3</v>
      </c>
    </row>
    <row r="47" spans="1:18" x14ac:dyDescent="0.25">
      <c r="A47" s="23" t="s">
        <v>62</v>
      </c>
      <c r="B47" s="5">
        <v>8.5</v>
      </c>
      <c r="C47" s="10">
        <v>10.199999999999999</v>
      </c>
      <c r="D47" s="10">
        <v>12.8</v>
      </c>
      <c r="E47" s="10">
        <v>8.5</v>
      </c>
      <c r="F47" s="10">
        <v>7.9</v>
      </c>
      <c r="G47" s="10">
        <v>10.199999999999999</v>
      </c>
      <c r="H47" s="10">
        <v>8.9</v>
      </c>
      <c r="I47" s="10">
        <v>8.668505930991758</v>
      </c>
      <c r="J47" s="10">
        <v>9.1773868423422442</v>
      </c>
      <c r="K47" s="10">
        <v>7.975369022223556</v>
      </c>
      <c r="L47" s="10">
        <v>8.1</v>
      </c>
      <c r="M47" s="10">
        <v>10.5</v>
      </c>
      <c r="N47" s="61">
        <v>10.199999999999999</v>
      </c>
      <c r="O47" s="61">
        <v>9.7748826091928152</v>
      </c>
      <c r="P47" s="117">
        <v>8.8000000000000007</v>
      </c>
      <c r="Q47" s="21">
        <v>10.4</v>
      </c>
      <c r="R47" s="10">
        <v>9</v>
      </c>
    </row>
    <row r="48" spans="1:18" x14ac:dyDescent="0.25">
      <c r="A48" s="23" t="s">
        <v>55</v>
      </c>
      <c r="B48" s="5">
        <v>35.799999999999997</v>
      </c>
      <c r="C48" s="10">
        <v>31.9</v>
      </c>
      <c r="D48" s="10">
        <v>46.9</v>
      </c>
      <c r="E48" s="10">
        <v>32.799999999999997</v>
      </c>
      <c r="F48" s="10">
        <v>36.1</v>
      </c>
      <c r="G48" s="10">
        <v>25.9</v>
      </c>
      <c r="H48" s="10">
        <v>25.5</v>
      </c>
      <c r="I48" s="10">
        <v>28.407894930491356</v>
      </c>
      <c r="J48" s="10">
        <v>22.454830067970089</v>
      </c>
      <c r="K48" s="10">
        <v>28.116569263643989</v>
      </c>
      <c r="L48" s="10">
        <v>25.3</v>
      </c>
      <c r="M48" s="10">
        <v>27.2</v>
      </c>
      <c r="N48" s="61">
        <v>23.1</v>
      </c>
      <c r="O48" s="61">
        <v>22.391506467134949</v>
      </c>
      <c r="P48" s="117">
        <v>23.7</v>
      </c>
      <c r="Q48" s="21">
        <v>22.7</v>
      </c>
      <c r="R48" s="10">
        <v>19.8</v>
      </c>
    </row>
    <row r="49" spans="1:18" x14ac:dyDescent="0.25">
      <c r="A49" s="23" t="s">
        <v>48</v>
      </c>
      <c r="B49" s="5">
        <v>21</v>
      </c>
      <c r="C49" s="10">
        <v>19.7</v>
      </c>
      <c r="D49" s="10">
        <v>19</v>
      </c>
      <c r="E49" s="10">
        <v>17</v>
      </c>
      <c r="F49" s="10">
        <v>21.2</v>
      </c>
      <c r="G49" s="10">
        <v>15</v>
      </c>
      <c r="H49" s="10">
        <v>16.8</v>
      </c>
      <c r="I49" s="10">
        <v>20.135963439858784</v>
      </c>
      <c r="J49" s="10">
        <v>16.801515631122054</v>
      </c>
      <c r="K49" s="10">
        <v>20.208498258060853</v>
      </c>
      <c r="L49" s="10">
        <v>18.2</v>
      </c>
      <c r="M49" s="10">
        <v>16.3</v>
      </c>
      <c r="N49" s="61">
        <v>14.6</v>
      </c>
      <c r="O49" s="61">
        <v>18.362535002548423</v>
      </c>
      <c r="P49" s="116">
        <v>15</v>
      </c>
      <c r="Q49" s="21">
        <v>18.8</v>
      </c>
      <c r="R49" s="10">
        <v>14.8</v>
      </c>
    </row>
    <row r="50" spans="1:18" x14ac:dyDescent="0.25">
      <c r="A50" s="23" t="s">
        <v>82</v>
      </c>
      <c r="B50" s="5">
        <v>8.9</v>
      </c>
      <c r="C50" s="10">
        <v>5.5</v>
      </c>
      <c r="D50" s="10">
        <v>7.7</v>
      </c>
      <c r="E50" s="10">
        <v>12</v>
      </c>
      <c r="F50" s="10">
        <v>11.9</v>
      </c>
      <c r="G50" s="10">
        <v>10.7</v>
      </c>
      <c r="H50" s="10">
        <v>12.7</v>
      </c>
      <c r="I50" s="10">
        <v>9.402178171276347</v>
      </c>
      <c r="J50" s="10">
        <v>8.2668796765996664</v>
      </c>
      <c r="K50" s="10">
        <v>11.282178568168462</v>
      </c>
      <c r="L50" s="10">
        <v>10.1</v>
      </c>
      <c r="M50" s="10">
        <v>18</v>
      </c>
      <c r="N50" s="61">
        <v>9.9</v>
      </c>
      <c r="O50" s="61">
        <v>14.780305538476092</v>
      </c>
      <c r="P50" s="117">
        <v>13.7</v>
      </c>
      <c r="Q50" s="21">
        <v>10.7</v>
      </c>
      <c r="R50" s="10">
        <v>9.6</v>
      </c>
    </row>
    <row r="51" spans="1:18" x14ac:dyDescent="0.25">
      <c r="A51" s="23" t="s">
        <v>75</v>
      </c>
      <c r="B51" s="5">
        <v>11.1</v>
      </c>
      <c r="C51" s="10">
        <v>15.7</v>
      </c>
      <c r="D51" s="10">
        <v>11</v>
      </c>
      <c r="E51" s="10">
        <v>13.3</v>
      </c>
      <c r="F51" s="10">
        <v>10.9</v>
      </c>
      <c r="G51" s="10">
        <v>17.100000000000001</v>
      </c>
      <c r="H51" s="10">
        <v>17</v>
      </c>
      <c r="I51" s="10">
        <v>12.429996519600975</v>
      </c>
      <c r="J51" s="10">
        <v>12.920310334619185</v>
      </c>
      <c r="K51" s="10">
        <v>7.7924145297361314</v>
      </c>
      <c r="L51" s="10">
        <v>9.8000000000000007</v>
      </c>
      <c r="M51" s="10">
        <v>9.1999999999999993</v>
      </c>
      <c r="N51" s="61">
        <v>11.9</v>
      </c>
      <c r="O51" s="61">
        <v>11.236141423426499</v>
      </c>
      <c r="P51" s="117">
        <v>10.6</v>
      </c>
      <c r="Q51" s="21">
        <v>15.3</v>
      </c>
      <c r="R51" s="10">
        <v>15.2</v>
      </c>
    </row>
    <row r="52" spans="1:18" x14ac:dyDescent="0.25">
      <c r="A52" s="23" t="s">
        <v>76</v>
      </c>
      <c r="B52" s="5">
        <v>11.9</v>
      </c>
      <c r="C52" s="10">
        <v>11.5</v>
      </c>
      <c r="D52" s="10">
        <v>11.1</v>
      </c>
      <c r="E52" s="10">
        <v>10.3</v>
      </c>
      <c r="F52" s="10">
        <v>8.6</v>
      </c>
      <c r="G52" s="10">
        <v>8.6999999999999993</v>
      </c>
      <c r="H52" s="10">
        <v>16.100000000000001</v>
      </c>
      <c r="I52" s="10">
        <v>14.409491259280491</v>
      </c>
      <c r="J52" s="10">
        <v>14.162896274009938</v>
      </c>
      <c r="K52" s="10">
        <v>6.810223659095338</v>
      </c>
      <c r="L52" s="10">
        <v>6.7</v>
      </c>
      <c r="M52" s="10">
        <v>10.7</v>
      </c>
      <c r="N52" s="61">
        <v>10.199999999999999</v>
      </c>
      <c r="O52" s="61">
        <v>10.388702250479492</v>
      </c>
      <c r="P52" s="116">
        <v>7</v>
      </c>
      <c r="Q52" s="21">
        <v>5.5</v>
      </c>
      <c r="R52" s="10">
        <v>9.9</v>
      </c>
    </row>
    <row r="53" spans="1:18" x14ac:dyDescent="0.25">
      <c r="A53" s="23" t="s">
        <v>79</v>
      </c>
      <c r="B53" s="5">
        <v>8.9</v>
      </c>
      <c r="C53" s="10">
        <v>11.1</v>
      </c>
      <c r="D53" s="10">
        <v>6.3</v>
      </c>
      <c r="E53" s="10">
        <v>9.4</v>
      </c>
      <c r="F53" s="10">
        <v>7</v>
      </c>
      <c r="G53" s="10">
        <v>10.8</v>
      </c>
      <c r="H53" s="10">
        <v>4.5999999999999996</v>
      </c>
      <c r="I53" s="10">
        <v>6.8319336725514921</v>
      </c>
      <c r="J53" s="10">
        <v>11.355197387396185</v>
      </c>
      <c r="K53" s="10">
        <v>9.0595096540399744</v>
      </c>
      <c r="L53" s="10">
        <v>9.1</v>
      </c>
      <c r="M53" s="10">
        <v>8.3000000000000007</v>
      </c>
      <c r="N53" s="61">
        <v>10.6</v>
      </c>
      <c r="O53" s="61" t="s">
        <v>104</v>
      </c>
      <c r="P53" s="117" t="s">
        <v>104</v>
      </c>
      <c r="Q53" s="21">
        <v>9.8000000000000007</v>
      </c>
      <c r="R53" s="10">
        <v>8.1999999999999993</v>
      </c>
    </row>
    <row r="54" spans="1:18" x14ac:dyDescent="0.25">
      <c r="A54" s="23" t="s">
        <v>59</v>
      </c>
      <c r="B54" s="5">
        <v>10.3</v>
      </c>
      <c r="C54" s="10">
        <v>9.3000000000000007</v>
      </c>
      <c r="D54" s="10">
        <v>9.1</v>
      </c>
      <c r="E54" s="10">
        <v>7.9</v>
      </c>
      <c r="F54" s="10">
        <v>8.6</v>
      </c>
      <c r="G54" s="10">
        <v>9.1</v>
      </c>
      <c r="H54" s="10">
        <v>8</v>
      </c>
      <c r="I54" s="10">
        <v>7.5265952242247982</v>
      </c>
      <c r="J54" s="10">
        <v>7.161570458475655</v>
      </c>
      <c r="K54" s="10">
        <v>5.7420186801648505</v>
      </c>
      <c r="L54" s="10">
        <v>7.3</v>
      </c>
      <c r="M54" s="10">
        <v>6.3</v>
      </c>
      <c r="N54" s="61">
        <v>6.2</v>
      </c>
      <c r="O54" s="61">
        <v>7.1817298587825045</v>
      </c>
      <c r="P54" s="117">
        <v>7.6</v>
      </c>
      <c r="Q54" s="21">
        <v>6.3</v>
      </c>
      <c r="R54" s="10">
        <v>6.1</v>
      </c>
    </row>
    <row r="55" spans="1:18" x14ac:dyDescent="0.25">
      <c r="A55" s="23" t="s">
        <v>71</v>
      </c>
      <c r="B55" s="5">
        <v>12.1</v>
      </c>
      <c r="C55" s="10">
        <v>9.8000000000000007</v>
      </c>
      <c r="D55" s="10">
        <v>15.7</v>
      </c>
      <c r="E55" s="10">
        <v>17.100000000000001</v>
      </c>
      <c r="F55" s="10">
        <v>13.8</v>
      </c>
      <c r="G55" s="10">
        <v>16.7</v>
      </c>
      <c r="H55" s="10">
        <v>11.4</v>
      </c>
      <c r="I55" s="10">
        <v>11.174711019433332</v>
      </c>
      <c r="J55" s="10">
        <v>15.119603624471381</v>
      </c>
      <c r="K55" s="10">
        <v>6.9663143867827122</v>
      </c>
      <c r="L55" s="10">
        <v>10.6</v>
      </c>
      <c r="M55" s="10">
        <v>11.1</v>
      </c>
      <c r="N55" s="61">
        <v>10.6</v>
      </c>
      <c r="O55" s="61">
        <v>10.541977435376481</v>
      </c>
      <c r="P55" s="117">
        <v>12.9</v>
      </c>
      <c r="Q55" s="21">
        <v>10.6</v>
      </c>
      <c r="R55" s="10">
        <v>10.5</v>
      </c>
    </row>
    <row r="56" spans="1:18" x14ac:dyDescent="0.25">
      <c r="A56" s="23" t="s">
        <v>42</v>
      </c>
      <c r="B56" s="5">
        <v>11.9</v>
      </c>
      <c r="C56" s="10">
        <v>11.9</v>
      </c>
      <c r="D56" s="10">
        <v>11.3</v>
      </c>
      <c r="E56" s="10">
        <v>12.3</v>
      </c>
      <c r="F56" s="10">
        <v>11.4</v>
      </c>
      <c r="G56" s="10">
        <v>10.6</v>
      </c>
      <c r="H56" s="10">
        <v>10.3</v>
      </c>
      <c r="I56" s="10">
        <v>10.709076256191377</v>
      </c>
      <c r="J56" s="10">
        <v>10.172374481889628</v>
      </c>
      <c r="K56" s="10">
        <v>9.9276138780468361</v>
      </c>
      <c r="L56" s="10">
        <v>7.9</v>
      </c>
      <c r="M56" s="10">
        <v>8.6999999999999993</v>
      </c>
      <c r="N56" s="61">
        <v>7</v>
      </c>
      <c r="O56" s="61">
        <v>8.8851971599863528</v>
      </c>
      <c r="P56" s="117">
        <v>8.9</v>
      </c>
      <c r="Q56" s="21">
        <v>8.9</v>
      </c>
      <c r="R56" s="10">
        <v>7.5</v>
      </c>
    </row>
    <row r="57" spans="1:18" x14ac:dyDescent="0.25">
      <c r="A57" s="23" t="s">
        <v>47</v>
      </c>
      <c r="B57" s="5">
        <v>19.600000000000001</v>
      </c>
      <c r="C57" s="10">
        <v>17.100000000000001</v>
      </c>
      <c r="D57" s="10">
        <v>17</v>
      </c>
      <c r="E57" s="10">
        <v>17.7</v>
      </c>
      <c r="F57" s="10">
        <v>16.8</v>
      </c>
      <c r="G57" s="10">
        <v>16.3</v>
      </c>
      <c r="H57" s="10">
        <v>15.6</v>
      </c>
      <c r="I57" s="10">
        <v>19.527642867875969</v>
      </c>
      <c r="J57" s="10">
        <v>14.40939986908031</v>
      </c>
      <c r="K57" s="10">
        <v>13.751369273940494</v>
      </c>
      <c r="L57" s="10">
        <v>12.6</v>
      </c>
      <c r="M57" s="10">
        <v>13.7</v>
      </c>
      <c r="N57" s="61">
        <v>12.1</v>
      </c>
      <c r="O57" s="61">
        <v>12.387148759604736</v>
      </c>
      <c r="P57" s="117">
        <v>14.2</v>
      </c>
      <c r="Q57" s="21">
        <v>14.2</v>
      </c>
      <c r="R57" s="10">
        <v>12.7</v>
      </c>
    </row>
    <row r="58" spans="1:18" x14ac:dyDescent="0.25">
      <c r="A58" s="23" t="s">
        <v>106</v>
      </c>
      <c r="B58" s="5">
        <v>14</v>
      </c>
      <c r="C58" s="10">
        <v>9.4</v>
      </c>
      <c r="D58" s="10">
        <v>17.399999999999999</v>
      </c>
      <c r="E58" s="10">
        <v>7.9</v>
      </c>
      <c r="F58" s="10">
        <v>14.1</v>
      </c>
      <c r="G58" s="10">
        <v>17.3</v>
      </c>
      <c r="H58" s="10">
        <v>7.9</v>
      </c>
      <c r="I58" s="10">
        <v>6.2676080613974881</v>
      </c>
      <c r="J58" s="10">
        <v>10.92853518598025</v>
      </c>
      <c r="K58" s="10">
        <v>12.367742454131134</v>
      </c>
      <c r="L58" s="28" t="s">
        <v>104</v>
      </c>
      <c r="M58" s="10">
        <v>14.6</v>
      </c>
      <c r="N58" s="61" t="s">
        <v>104</v>
      </c>
      <c r="O58" s="61">
        <v>13.814883326402866</v>
      </c>
      <c r="P58" s="117" t="s">
        <v>104</v>
      </c>
      <c r="Q58" s="119" t="s">
        <v>104</v>
      </c>
      <c r="R58" s="153" t="s">
        <v>104</v>
      </c>
    </row>
    <row r="59" spans="1:18" x14ac:dyDescent="0.25">
      <c r="A59" s="23" t="s">
        <v>41</v>
      </c>
      <c r="B59" s="5">
        <v>15.8</v>
      </c>
      <c r="C59" s="10">
        <v>14.8</v>
      </c>
      <c r="D59" s="10">
        <v>14.8</v>
      </c>
      <c r="E59" s="10">
        <v>15.2</v>
      </c>
      <c r="F59" s="10">
        <v>12</v>
      </c>
      <c r="G59" s="10">
        <v>13.6</v>
      </c>
      <c r="H59" s="10">
        <v>16.100000000000001</v>
      </c>
      <c r="I59" s="10">
        <v>12.499115730961742</v>
      </c>
      <c r="J59" s="10">
        <v>16.049705852269312</v>
      </c>
      <c r="K59" s="10">
        <v>10.656136440131357</v>
      </c>
      <c r="L59" s="10">
        <v>13.9</v>
      </c>
      <c r="M59" s="10">
        <v>10.7</v>
      </c>
      <c r="N59" s="61">
        <v>10.1</v>
      </c>
      <c r="O59" s="61">
        <v>11.320423729509276</v>
      </c>
      <c r="P59" s="117">
        <v>11.6</v>
      </c>
      <c r="Q59" s="21">
        <v>13.6</v>
      </c>
      <c r="R59" s="10">
        <v>14.1</v>
      </c>
    </row>
    <row r="60" spans="1:18" x14ac:dyDescent="0.25">
      <c r="A60" s="23" t="s">
        <v>52</v>
      </c>
      <c r="B60" s="5">
        <v>17.7</v>
      </c>
      <c r="C60" s="10">
        <v>20.2</v>
      </c>
      <c r="D60" s="10">
        <v>20.399999999999999</v>
      </c>
      <c r="E60" s="10">
        <v>23.2</v>
      </c>
      <c r="F60" s="10">
        <v>26.2</v>
      </c>
      <c r="G60" s="10">
        <v>32</v>
      </c>
      <c r="H60" s="10">
        <v>19.100000000000001</v>
      </c>
      <c r="I60" s="10">
        <v>24.915660489243908</v>
      </c>
      <c r="J60" s="10">
        <v>26.371880323308265</v>
      </c>
      <c r="K60" s="10">
        <v>21.155124015134053</v>
      </c>
      <c r="L60" s="10">
        <v>22.3</v>
      </c>
      <c r="M60" s="10">
        <v>19.8</v>
      </c>
      <c r="N60" s="61">
        <v>18.899999999999999</v>
      </c>
      <c r="O60" s="61">
        <v>19.724285630494578</v>
      </c>
      <c r="P60" s="117">
        <v>22.4</v>
      </c>
      <c r="Q60" s="21">
        <v>17.899999999999999</v>
      </c>
      <c r="R60" s="10">
        <v>19.899999999999999</v>
      </c>
    </row>
    <row r="61" spans="1:18" x14ac:dyDescent="0.25">
      <c r="A61" s="23" t="s">
        <v>72</v>
      </c>
      <c r="B61" s="5">
        <v>12.5</v>
      </c>
      <c r="C61" s="10">
        <v>11.2</v>
      </c>
      <c r="D61" s="10">
        <v>14.8</v>
      </c>
      <c r="E61" s="10">
        <v>10.7</v>
      </c>
      <c r="F61" s="10">
        <v>12.3</v>
      </c>
      <c r="G61" s="10">
        <v>8.8000000000000007</v>
      </c>
      <c r="H61" s="10">
        <v>10.3</v>
      </c>
      <c r="I61" s="10">
        <v>9.6438292752903401</v>
      </c>
      <c r="J61" s="10">
        <v>10.844850917685996</v>
      </c>
      <c r="K61" s="10">
        <v>7.8417903120954131</v>
      </c>
      <c r="L61" s="10">
        <v>5.7</v>
      </c>
      <c r="M61" s="10">
        <v>13.2</v>
      </c>
      <c r="N61" s="61">
        <v>6.9</v>
      </c>
      <c r="O61" s="61">
        <v>12.474325800877173</v>
      </c>
      <c r="P61" s="117">
        <v>12.1</v>
      </c>
      <c r="Q61" s="21">
        <v>11.7</v>
      </c>
      <c r="R61" s="10">
        <v>9.5</v>
      </c>
    </row>
    <row r="62" spans="1:18" x14ac:dyDescent="0.25">
      <c r="A62" s="23" t="s">
        <v>39</v>
      </c>
      <c r="B62" s="5">
        <v>17.2</v>
      </c>
      <c r="C62" s="10">
        <v>16.5</v>
      </c>
      <c r="D62" s="10">
        <v>13.4</v>
      </c>
      <c r="E62" s="10">
        <v>18.3</v>
      </c>
      <c r="F62" s="10">
        <v>19</v>
      </c>
      <c r="G62" s="10">
        <v>18.100000000000001</v>
      </c>
      <c r="H62" s="10">
        <v>19.899999999999999</v>
      </c>
      <c r="I62" s="10">
        <v>19.245310712347209</v>
      </c>
      <c r="J62" s="10">
        <v>17.273582340380955</v>
      </c>
      <c r="K62" s="10">
        <v>13.407625860914367</v>
      </c>
      <c r="L62" s="10">
        <v>13.5</v>
      </c>
      <c r="M62" s="10">
        <v>14.9</v>
      </c>
      <c r="N62" s="61">
        <v>13</v>
      </c>
      <c r="O62" s="61">
        <v>14.239557553475015</v>
      </c>
      <c r="P62" s="117">
        <v>14.5</v>
      </c>
      <c r="Q62" s="21">
        <v>13.4</v>
      </c>
      <c r="R62" s="10">
        <v>12.6</v>
      </c>
    </row>
    <row r="63" spans="1:18" x14ac:dyDescent="0.25">
      <c r="A63" s="23" t="s">
        <v>78</v>
      </c>
      <c r="B63" s="5">
        <v>17.100000000000001</v>
      </c>
      <c r="C63" s="10">
        <v>10.4</v>
      </c>
      <c r="D63" s="10">
        <v>19.7</v>
      </c>
      <c r="E63" s="10">
        <v>98.9</v>
      </c>
      <c r="F63" s="10">
        <v>4.7</v>
      </c>
      <c r="G63" s="10">
        <v>6.6</v>
      </c>
      <c r="H63" s="10">
        <v>4.7</v>
      </c>
      <c r="I63" s="10">
        <v>5.6871552754526267</v>
      </c>
      <c r="J63" s="10">
        <v>11.338211283787869</v>
      </c>
      <c r="K63" s="10">
        <v>7.5958333056401912</v>
      </c>
      <c r="L63" s="10">
        <v>12.4</v>
      </c>
      <c r="M63" s="10">
        <v>15.2</v>
      </c>
      <c r="N63" s="61">
        <v>10.4</v>
      </c>
      <c r="O63" s="61">
        <v>14.240226932256393</v>
      </c>
      <c r="P63" s="117">
        <v>10.4</v>
      </c>
      <c r="Q63" s="119" t="s">
        <v>104</v>
      </c>
      <c r="R63" s="10">
        <v>13.2</v>
      </c>
    </row>
    <row r="64" spans="1:18" x14ac:dyDescent="0.25">
      <c r="A64" s="23" t="s">
        <v>60</v>
      </c>
      <c r="B64" s="5">
        <v>27.1</v>
      </c>
      <c r="C64" s="10">
        <v>19</v>
      </c>
      <c r="D64" s="10">
        <v>16.3</v>
      </c>
      <c r="E64" s="10">
        <v>21.2</v>
      </c>
      <c r="F64" s="10">
        <v>22.2</v>
      </c>
      <c r="G64" s="10">
        <v>16.7</v>
      </c>
      <c r="H64" s="10">
        <v>19.899999999999999</v>
      </c>
      <c r="I64" s="10">
        <v>17.404150596080857</v>
      </c>
      <c r="J64" s="10">
        <v>18.676021278213575</v>
      </c>
      <c r="K64" s="10">
        <v>14.469743109442559</v>
      </c>
      <c r="L64" s="10">
        <v>12.5</v>
      </c>
      <c r="M64" s="10">
        <v>13.9</v>
      </c>
      <c r="N64" s="61">
        <v>15.5</v>
      </c>
      <c r="O64" s="61">
        <v>13.411767023356802</v>
      </c>
      <c r="P64" s="117">
        <v>15.1</v>
      </c>
      <c r="Q64" s="21">
        <v>13.1</v>
      </c>
      <c r="R64" s="10">
        <v>14.7</v>
      </c>
    </row>
    <row r="65" spans="1:18" x14ac:dyDescent="0.25">
      <c r="A65" s="23" t="s">
        <v>81</v>
      </c>
      <c r="B65" s="5">
        <v>10.6</v>
      </c>
      <c r="C65" s="10">
        <v>15.8</v>
      </c>
      <c r="D65" s="10">
        <v>19.7</v>
      </c>
      <c r="E65" s="10">
        <v>14.4</v>
      </c>
      <c r="F65" s="10">
        <v>20.7</v>
      </c>
      <c r="G65" s="10">
        <v>16.7</v>
      </c>
      <c r="H65" s="10">
        <v>15.2</v>
      </c>
      <c r="I65" s="10">
        <v>11.291850420621428</v>
      </c>
      <c r="J65" s="10">
        <v>14.94308552301422</v>
      </c>
      <c r="K65" s="10">
        <v>8.616625409443575</v>
      </c>
      <c r="L65" s="10">
        <v>12.2</v>
      </c>
      <c r="M65" s="10">
        <v>18.2</v>
      </c>
      <c r="N65" s="61">
        <v>24</v>
      </c>
      <c r="O65" s="61">
        <v>11.827181227897956</v>
      </c>
      <c r="P65" s="117" t="s">
        <v>104</v>
      </c>
      <c r="Q65" s="119" t="s">
        <v>104</v>
      </c>
      <c r="R65" s="10">
        <v>17.399999999999999</v>
      </c>
    </row>
    <row r="66" spans="1:18" x14ac:dyDescent="0.25">
      <c r="A66" s="23" t="s">
        <v>44</v>
      </c>
      <c r="B66" s="5">
        <v>27.5</v>
      </c>
      <c r="C66" s="10">
        <v>25.1</v>
      </c>
      <c r="D66" s="10">
        <v>22.6</v>
      </c>
      <c r="E66" s="10">
        <v>32.1</v>
      </c>
      <c r="F66" s="10">
        <v>26.6</v>
      </c>
      <c r="G66" s="10">
        <v>30.1</v>
      </c>
      <c r="H66" s="10">
        <v>27.4</v>
      </c>
      <c r="I66" s="10">
        <v>22.517917944707008</v>
      </c>
      <c r="J66" s="10">
        <v>21.956739773528252</v>
      </c>
      <c r="K66" s="10">
        <v>19.853074542418394</v>
      </c>
      <c r="L66" s="10">
        <v>21.7</v>
      </c>
      <c r="M66" s="10">
        <v>18.600000000000001</v>
      </c>
      <c r="N66" s="61">
        <v>15</v>
      </c>
      <c r="O66" s="61">
        <v>19.546674148784668</v>
      </c>
      <c r="P66" s="117">
        <v>20.5</v>
      </c>
      <c r="Q66" s="21">
        <v>16.7</v>
      </c>
      <c r="R66" s="10">
        <v>21.2</v>
      </c>
    </row>
    <row r="67" spans="1:18" x14ac:dyDescent="0.25">
      <c r="A67" s="23" t="s">
        <v>37</v>
      </c>
      <c r="B67" s="5">
        <v>15.2</v>
      </c>
      <c r="C67" s="10">
        <v>13.1</v>
      </c>
      <c r="D67" s="10">
        <v>14.7</v>
      </c>
      <c r="E67" s="10">
        <v>14.2</v>
      </c>
      <c r="F67" s="10">
        <v>11.4</v>
      </c>
      <c r="G67" s="10">
        <v>12.7</v>
      </c>
      <c r="H67" s="10">
        <v>12.5</v>
      </c>
      <c r="I67" s="10">
        <v>11.200744568446428</v>
      </c>
      <c r="J67" s="10">
        <v>10.950733186579786</v>
      </c>
      <c r="K67" s="10">
        <v>10.612412035007887</v>
      </c>
      <c r="L67" s="10">
        <v>10.3</v>
      </c>
      <c r="M67" s="10">
        <v>10.199999999999999</v>
      </c>
      <c r="N67" s="61">
        <v>7.9</v>
      </c>
      <c r="O67" s="61">
        <v>9.31877245583647</v>
      </c>
      <c r="P67" s="117">
        <v>8.6999999999999993</v>
      </c>
      <c r="Q67" s="119">
        <v>8.3000000000000007</v>
      </c>
      <c r="R67" s="10">
        <v>8.1999999999999993</v>
      </c>
    </row>
    <row r="68" spans="1:18" x14ac:dyDescent="0.25">
      <c r="A68" s="23" t="s">
        <v>74</v>
      </c>
      <c r="B68" s="5">
        <v>6.2</v>
      </c>
      <c r="C68" s="10">
        <v>7</v>
      </c>
      <c r="D68" s="10">
        <v>8.6</v>
      </c>
      <c r="E68" s="10">
        <v>7.1</v>
      </c>
      <c r="F68" s="10">
        <v>7.8</v>
      </c>
      <c r="G68" s="10">
        <v>8.8000000000000007</v>
      </c>
      <c r="H68" s="10">
        <v>6.2</v>
      </c>
      <c r="I68" s="10">
        <v>11.637527798675274</v>
      </c>
      <c r="J68" s="10">
        <v>5.1382086369617044</v>
      </c>
      <c r="K68" s="10">
        <v>7.1824323450785261</v>
      </c>
      <c r="L68" s="10">
        <v>6.8</v>
      </c>
      <c r="M68" s="10">
        <v>6.4</v>
      </c>
      <c r="N68" s="61">
        <v>7.4</v>
      </c>
      <c r="O68" s="61">
        <v>4.4784546713210442</v>
      </c>
      <c r="P68" s="117">
        <v>7.8</v>
      </c>
      <c r="Q68" s="119">
        <v>5.4</v>
      </c>
      <c r="R68" s="10">
        <v>8.1999999999999993</v>
      </c>
    </row>
    <row r="69" spans="1:18" x14ac:dyDescent="0.25">
      <c r="A69" s="23" t="s">
        <v>107</v>
      </c>
      <c r="B69" s="5">
        <v>27.9</v>
      </c>
      <c r="C69" s="10">
        <v>8.1999999999999993</v>
      </c>
      <c r="D69" s="10">
        <v>6.5</v>
      </c>
      <c r="E69" s="10">
        <v>17.8</v>
      </c>
      <c r="F69" s="10">
        <v>4.9000000000000004</v>
      </c>
      <c r="G69" s="10">
        <v>16.100000000000001</v>
      </c>
      <c r="H69" s="10">
        <v>9.6999999999999993</v>
      </c>
      <c r="I69" s="10">
        <v>14.505366985784741</v>
      </c>
      <c r="J69" s="10">
        <v>6.4415661379751263</v>
      </c>
      <c r="K69" s="10">
        <v>16.083376222336593</v>
      </c>
      <c r="L69" s="28" t="s">
        <v>104</v>
      </c>
      <c r="M69" s="59" t="s">
        <v>104</v>
      </c>
      <c r="N69" s="61" t="s">
        <v>104</v>
      </c>
      <c r="O69" s="61" t="s">
        <v>104</v>
      </c>
      <c r="P69" s="117" t="s">
        <v>104</v>
      </c>
      <c r="Q69" s="119" t="s">
        <v>104</v>
      </c>
      <c r="R69" s="10">
        <v>17.600000000000001</v>
      </c>
    </row>
    <row r="70" spans="1:18" x14ac:dyDescent="0.25">
      <c r="A70" s="23" t="s">
        <v>53</v>
      </c>
      <c r="B70" s="5">
        <v>17.5</v>
      </c>
      <c r="C70" s="10">
        <v>12.9</v>
      </c>
      <c r="D70" s="10">
        <v>11.5</v>
      </c>
      <c r="E70" s="10">
        <v>12.8</v>
      </c>
      <c r="F70" s="10">
        <v>16.2</v>
      </c>
      <c r="G70" s="10">
        <v>11</v>
      </c>
      <c r="H70" s="10">
        <v>12.6</v>
      </c>
      <c r="I70" s="10">
        <v>13.342402712834316</v>
      </c>
      <c r="J70" s="10">
        <v>10.92447958671023</v>
      </c>
      <c r="K70" s="10">
        <v>9.3877773675911094</v>
      </c>
      <c r="L70" s="10">
        <v>10.3</v>
      </c>
      <c r="M70" s="10">
        <v>7.9</v>
      </c>
      <c r="N70" s="61">
        <v>8.3000000000000007</v>
      </c>
      <c r="O70" s="61">
        <v>10.761340669585126</v>
      </c>
      <c r="P70" s="117">
        <v>10.6</v>
      </c>
      <c r="Q70" s="119">
        <v>10.4</v>
      </c>
      <c r="R70" s="10">
        <v>10.7</v>
      </c>
    </row>
    <row r="71" spans="1:18" x14ac:dyDescent="0.25">
      <c r="A71" s="23" t="s">
        <v>56</v>
      </c>
      <c r="B71" s="5">
        <v>11.5</v>
      </c>
      <c r="C71" s="10">
        <v>13</v>
      </c>
      <c r="D71" s="10">
        <v>12.2</v>
      </c>
      <c r="E71" s="10">
        <v>8.3000000000000007</v>
      </c>
      <c r="F71" s="10">
        <v>10.8</v>
      </c>
      <c r="G71" s="10">
        <v>10.199999999999999</v>
      </c>
      <c r="H71" s="10">
        <v>10.5</v>
      </c>
      <c r="I71" s="10">
        <v>8.8167339754699903</v>
      </c>
      <c r="J71" s="10">
        <v>7.1579944517928116</v>
      </c>
      <c r="K71" s="10">
        <v>9.9036717863147761</v>
      </c>
      <c r="L71" s="10">
        <v>10.7</v>
      </c>
      <c r="M71" s="10">
        <v>9.4</v>
      </c>
      <c r="N71" s="61">
        <v>9.9</v>
      </c>
      <c r="O71" s="61">
        <v>9.0338874022009996</v>
      </c>
      <c r="P71" s="117">
        <v>8.5</v>
      </c>
      <c r="Q71" s="119">
        <v>9.6</v>
      </c>
      <c r="R71" s="10">
        <v>9.1999999999999993</v>
      </c>
    </row>
    <row r="72" spans="1:18" x14ac:dyDescent="0.25">
      <c r="A72" s="23" t="s">
        <v>58</v>
      </c>
      <c r="B72" s="5">
        <v>26</v>
      </c>
      <c r="C72" s="10">
        <v>18.3</v>
      </c>
      <c r="D72" s="10">
        <v>15</v>
      </c>
      <c r="E72" s="10">
        <v>26.6</v>
      </c>
      <c r="F72" s="10">
        <v>25.5</v>
      </c>
      <c r="G72" s="10">
        <v>22.2</v>
      </c>
      <c r="H72" s="10">
        <v>38.700000000000003</v>
      </c>
      <c r="I72" s="10">
        <v>24.845433795752864</v>
      </c>
      <c r="J72" s="10">
        <v>23.673825337819981</v>
      </c>
      <c r="K72" s="10">
        <v>19.782643697551954</v>
      </c>
      <c r="L72" s="10">
        <v>37.200000000000003</v>
      </c>
      <c r="M72" s="10">
        <v>17.2</v>
      </c>
      <c r="N72" s="61">
        <v>33.9</v>
      </c>
      <c r="O72" s="61">
        <v>24.27714792066228</v>
      </c>
      <c r="P72" s="117">
        <v>21.1</v>
      </c>
      <c r="Q72" s="119">
        <v>18.5</v>
      </c>
      <c r="R72" s="10">
        <v>29</v>
      </c>
    </row>
    <row r="73" spans="1:18" x14ac:dyDescent="0.25">
      <c r="A73" s="23" t="s">
        <v>61</v>
      </c>
      <c r="B73" s="5">
        <v>10.4</v>
      </c>
      <c r="C73" s="10">
        <v>10.199999999999999</v>
      </c>
      <c r="D73" s="10">
        <v>11.6</v>
      </c>
      <c r="E73" s="10">
        <v>11.9</v>
      </c>
      <c r="F73" s="10">
        <v>11.8</v>
      </c>
      <c r="G73" s="10">
        <v>11.9</v>
      </c>
      <c r="H73" s="10">
        <v>12.8</v>
      </c>
      <c r="I73" s="10">
        <v>12.675015634006961</v>
      </c>
      <c r="J73" s="10">
        <v>11.728627286793548</v>
      </c>
      <c r="K73" s="10">
        <v>9.195769804416587</v>
      </c>
      <c r="L73" s="10">
        <v>8.1</v>
      </c>
      <c r="M73" s="10">
        <v>9.1</v>
      </c>
      <c r="N73" s="61">
        <v>11.7</v>
      </c>
      <c r="O73" s="61">
        <v>9.7510810205133129</v>
      </c>
      <c r="P73" s="117">
        <v>9.4</v>
      </c>
      <c r="Q73" s="119">
        <v>10.7</v>
      </c>
      <c r="R73" s="10">
        <v>9.1999999999999993</v>
      </c>
    </row>
    <row r="74" spans="1:18" x14ac:dyDescent="0.25">
      <c r="A74" s="23" t="s">
        <v>108</v>
      </c>
      <c r="B74" s="5">
        <v>12.1</v>
      </c>
      <c r="C74" s="10">
        <v>14.2</v>
      </c>
      <c r="D74" s="10">
        <v>10.1</v>
      </c>
      <c r="E74" s="10">
        <v>2</v>
      </c>
      <c r="F74" s="10">
        <v>6</v>
      </c>
      <c r="G74" s="10">
        <v>13.8</v>
      </c>
      <c r="H74" s="10">
        <v>9.8000000000000007</v>
      </c>
      <c r="I74" s="10">
        <v>9.5526676779757516</v>
      </c>
      <c r="J74" s="10">
        <v>9.3874501057026869</v>
      </c>
      <c r="K74" s="10">
        <v>9.186616936446983</v>
      </c>
      <c r="L74" s="28" t="s">
        <v>104</v>
      </c>
      <c r="M74" s="59" t="s">
        <v>104</v>
      </c>
      <c r="N74" s="61" t="s">
        <v>104</v>
      </c>
      <c r="O74" s="61" t="s">
        <v>104</v>
      </c>
      <c r="P74" s="117" t="s">
        <v>104</v>
      </c>
      <c r="Q74" s="119" t="s">
        <v>104</v>
      </c>
      <c r="R74" s="61" t="s">
        <v>104</v>
      </c>
    </row>
    <row r="75" spans="1:18" x14ac:dyDescent="0.25">
      <c r="A75" s="29" t="s">
        <v>148</v>
      </c>
      <c r="B75" s="38">
        <v>14.8</v>
      </c>
      <c r="C75" s="38">
        <v>14.1</v>
      </c>
      <c r="D75" s="38">
        <v>13.5</v>
      </c>
      <c r="E75" s="38">
        <v>14.2</v>
      </c>
      <c r="F75" s="38">
        <v>13.6</v>
      </c>
      <c r="G75" s="38">
        <v>13.5</v>
      </c>
      <c r="H75" s="38">
        <v>13.2</v>
      </c>
      <c r="I75" s="38">
        <v>13.2</v>
      </c>
      <c r="J75" s="38">
        <v>12</v>
      </c>
      <c r="K75" s="38">
        <v>11</v>
      </c>
      <c r="L75" s="38">
        <v>11.1</v>
      </c>
      <c r="M75" s="58">
        <v>11</v>
      </c>
      <c r="N75" s="60">
        <v>10</v>
      </c>
      <c r="O75" s="60">
        <v>11</v>
      </c>
      <c r="P75" s="90">
        <v>10.7</v>
      </c>
      <c r="Q75" s="120">
        <v>10.5</v>
      </c>
      <c r="R75" s="155">
        <v>10.9</v>
      </c>
    </row>
    <row r="76" spans="1:18" x14ac:dyDescent="0.25">
      <c r="I76" s="22"/>
      <c r="N76" s="22"/>
      <c r="O76" s="22"/>
      <c r="Q76" s="114"/>
      <c r="R76" s="154"/>
    </row>
    <row r="77" spans="1:18" x14ac:dyDescent="0.25">
      <c r="A77" s="62" t="s">
        <v>222</v>
      </c>
      <c r="B77" s="62"/>
      <c r="C77" s="63"/>
      <c r="D77" s="63"/>
      <c r="E77" s="63"/>
      <c r="F77" s="63"/>
      <c r="G77" s="63"/>
      <c r="H77" s="63"/>
      <c r="I77" s="64"/>
      <c r="J77" s="65"/>
      <c r="K77" s="65"/>
      <c r="L77" s="65"/>
      <c r="M77" s="42"/>
    </row>
    <row r="78" spans="1:18" x14ac:dyDescent="0.25">
      <c r="A78" s="62" t="s">
        <v>223</v>
      </c>
      <c r="B78" s="62"/>
      <c r="C78" s="63"/>
      <c r="D78" s="63"/>
      <c r="E78" s="63"/>
      <c r="F78" s="63"/>
      <c r="G78" s="63"/>
      <c r="H78" s="63"/>
      <c r="I78" s="64"/>
      <c r="J78" s="65"/>
      <c r="K78" s="65"/>
      <c r="L78" s="65"/>
      <c r="M78" s="42"/>
    </row>
    <row r="79" spans="1:18" x14ac:dyDescent="0.25">
      <c r="A79" s="62" t="s">
        <v>109</v>
      </c>
      <c r="B79" s="62"/>
      <c r="C79" s="63"/>
      <c r="D79" s="63"/>
      <c r="E79" s="63"/>
      <c r="F79" s="63"/>
      <c r="G79" s="63"/>
      <c r="H79" s="63"/>
      <c r="I79" s="64"/>
      <c r="J79" s="65"/>
      <c r="K79" s="42"/>
      <c r="L79" s="42"/>
      <c r="M79" s="42"/>
    </row>
    <row r="80" spans="1:18" x14ac:dyDescent="0.25">
      <c r="A80" s="66" t="s">
        <v>149</v>
      </c>
      <c r="B80" s="66"/>
      <c r="C80" s="65"/>
      <c r="D80" s="65"/>
      <c r="E80" s="65"/>
      <c r="F80" s="65"/>
      <c r="G80" s="65"/>
      <c r="H80" s="65"/>
      <c r="I80" s="64"/>
      <c r="J80" s="65"/>
      <c r="K80" s="42"/>
      <c r="L80" s="42"/>
      <c r="M80" s="42"/>
    </row>
    <row r="81" spans="1:13" x14ac:dyDescent="0.25">
      <c r="A81" s="66" t="s">
        <v>110</v>
      </c>
      <c r="B81" s="66"/>
      <c r="C81" s="65"/>
      <c r="D81" s="65"/>
      <c r="E81" s="65"/>
      <c r="F81" s="65"/>
      <c r="G81" s="65"/>
      <c r="H81" s="65"/>
      <c r="I81" s="64"/>
      <c r="J81" s="65"/>
      <c r="K81" s="42"/>
      <c r="L81" s="42"/>
      <c r="M81" s="42"/>
    </row>
    <row r="82" spans="1:13" x14ac:dyDescent="0.25">
      <c r="A82" s="66" t="s">
        <v>150</v>
      </c>
      <c r="B82" s="66"/>
      <c r="C82" s="65"/>
      <c r="D82" s="65"/>
      <c r="E82" s="65"/>
      <c r="F82" s="65"/>
      <c r="G82" s="65"/>
      <c r="H82" s="65"/>
      <c r="I82" s="64"/>
      <c r="J82" s="65"/>
      <c r="K82" s="42"/>
      <c r="L82" s="42"/>
      <c r="M82" s="42"/>
    </row>
    <row r="83" spans="1:13" x14ac:dyDescent="0.25">
      <c r="A83" s="66" t="s">
        <v>151</v>
      </c>
      <c r="B83" s="66"/>
      <c r="C83" s="65"/>
      <c r="D83" s="65"/>
      <c r="E83" s="65"/>
      <c r="F83" s="65"/>
      <c r="G83" s="65"/>
      <c r="H83" s="65"/>
      <c r="I83" s="64"/>
      <c r="J83" s="65"/>
      <c r="K83" s="42"/>
      <c r="L83" s="42"/>
      <c r="M83" s="42"/>
    </row>
    <row r="84" spans="1:13" x14ac:dyDescent="0.25">
      <c r="A84" s="66" t="s">
        <v>159</v>
      </c>
      <c r="B84" s="66"/>
      <c r="C84" s="65"/>
      <c r="D84" s="65"/>
      <c r="E84" s="65"/>
      <c r="F84" s="65"/>
      <c r="G84" s="65"/>
      <c r="H84" s="65"/>
      <c r="I84" s="64"/>
      <c r="J84" s="65"/>
      <c r="K84" s="42"/>
      <c r="L84" s="42"/>
      <c r="M84" s="42"/>
    </row>
    <row r="85" spans="1:13" x14ac:dyDescent="0.25">
      <c r="A85" s="66" t="s">
        <v>249</v>
      </c>
      <c r="B85" s="42"/>
      <c r="C85" s="42"/>
      <c r="D85" s="42"/>
      <c r="E85" s="42"/>
      <c r="F85" s="42"/>
      <c r="G85" s="42"/>
      <c r="H85" s="42"/>
      <c r="I85" s="42"/>
      <c r="J85" s="42"/>
      <c r="K85" s="42"/>
      <c r="L85" s="42"/>
      <c r="M85" s="42"/>
    </row>
    <row r="86" spans="1:13" x14ac:dyDescent="0.25">
      <c r="A86" s="77" t="s">
        <v>163</v>
      </c>
      <c r="B86" s="42"/>
      <c r="C86" s="42"/>
      <c r="D86" s="42"/>
      <c r="E86" s="42"/>
      <c r="F86" s="42"/>
      <c r="G86" s="42"/>
      <c r="H86" s="42"/>
      <c r="I86" s="42"/>
      <c r="J86" s="42"/>
      <c r="K86" s="42"/>
      <c r="L86" s="42"/>
      <c r="M86" s="42"/>
    </row>
    <row r="87" spans="1:13" x14ac:dyDescent="0.25">
      <c r="A87" s="42"/>
      <c r="B87" s="42"/>
      <c r="C87" s="42"/>
      <c r="D87" s="42"/>
      <c r="E87" s="42"/>
      <c r="F87" s="42"/>
      <c r="G87" s="42"/>
      <c r="H87" s="42"/>
      <c r="I87" s="42"/>
      <c r="J87" s="42"/>
      <c r="K87" s="42"/>
      <c r="L87" s="42"/>
      <c r="M87" s="42"/>
    </row>
  </sheetData>
  <printOptions gridLines="1"/>
  <pageMargins left="0.7" right="0.7" top="0.75" bottom="0.75" header="0.3" footer="0.3"/>
  <pageSetup paperSize="5" scale="75"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dimension ref="A1:P40"/>
  <sheetViews>
    <sheetView workbookViewId="0">
      <selection activeCell="P26" sqref="P26"/>
    </sheetView>
  </sheetViews>
  <sheetFormatPr defaultRowHeight="15" x14ac:dyDescent="0.25"/>
  <cols>
    <col min="2" max="2" width="13.140625" customWidth="1"/>
    <col min="3" max="3" width="10.85546875" bestFit="1" customWidth="1"/>
    <col min="4" max="4" width="14.85546875" customWidth="1"/>
    <col min="7" max="7" width="10.140625" bestFit="1" customWidth="1"/>
    <col min="11" max="11" width="15.7109375" customWidth="1"/>
    <col min="12" max="12" width="9.85546875" bestFit="1" customWidth="1"/>
    <col min="13" max="13" width="14.5703125" customWidth="1"/>
    <col min="16" max="16" width="10.140625" bestFit="1" customWidth="1"/>
  </cols>
  <sheetData>
    <row r="1" spans="1:16" ht="18.75" x14ac:dyDescent="0.3">
      <c r="A1" s="20" t="s">
        <v>228</v>
      </c>
    </row>
    <row r="3" spans="1:16" x14ac:dyDescent="0.25">
      <c r="A3" s="33" t="s">
        <v>119</v>
      </c>
      <c r="J3" s="33" t="s">
        <v>120</v>
      </c>
    </row>
    <row r="4" spans="1:16" ht="60" x14ac:dyDescent="0.25">
      <c r="A4" s="37" t="s">
        <v>0</v>
      </c>
      <c r="B4" s="35" t="s">
        <v>137</v>
      </c>
      <c r="C4" s="35" t="s">
        <v>117</v>
      </c>
      <c r="D4" s="35" t="s">
        <v>118</v>
      </c>
      <c r="E4" s="76" t="s">
        <v>133</v>
      </c>
      <c r="J4" s="37" t="s">
        <v>0</v>
      </c>
      <c r="K4" s="35" t="s">
        <v>138</v>
      </c>
      <c r="L4" s="35" t="s">
        <v>117</v>
      </c>
      <c r="M4" s="35" t="s">
        <v>118</v>
      </c>
      <c r="N4" s="76" t="s">
        <v>133</v>
      </c>
    </row>
    <row r="5" spans="1:16" x14ac:dyDescent="0.25">
      <c r="A5" s="45">
        <v>2007</v>
      </c>
      <c r="B5" s="36">
        <v>510</v>
      </c>
      <c r="C5" s="39">
        <v>60681615</v>
      </c>
      <c r="D5" s="88">
        <v>8.4045225230079996</v>
      </c>
      <c r="E5" s="88">
        <v>0.63387693136314094</v>
      </c>
      <c r="G5" s="131"/>
      <c r="J5" s="45">
        <v>2007</v>
      </c>
      <c r="K5" s="36">
        <v>267</v>
      </c>
      <c r="L5" s="39">
        <v>20125962</v>
      </c>
      <c r="M5" s="88">
        <v>13.266446592714425</v>
      </c>
      <c r="N5" s="88">
        <v>1.0005677816035061</v>
      </c>
      <c r="P5" s="130"/>
    </row>
    <row r="6" spans="1:16" x14ac:dyDescent="0.25">
      <c r="A6" s="45">
        <v>2008</v>
      </c>
      <c r="B6" s="36">
        <v>405</v>
      </c>
      <c r="C6" s="39">
        <v>60907384</v>
      </c>
      <c r="D6" s="88">
        <v>6.6494400744579671</v>
      </c>
      <c r="E6" s="88">
        <v>0.55398756271815297</v>
      </c>
      <c r="G6" s="131"/>
      <c r="J6" s="45">
        <v>2008</v>
      </c>
      <c r="K6" s="36">
        <v>221</v>
      </c>
      <c r="L6" s="39">
        <v>20271127</v>
      </c>
      <c r="M6" s="88">
        <v>10.902205881301025</v>
      </c>
      <c r="N6" s="88">
        <v>0.90830000673790523</v>
      </c>
      <c r="P6" s="130"/>
    </row>
    <row r="7" spans="1:16" x14ac:dyDescent="0.25">
      <c r="A7" s="45">
        <v>2009</v>
      </c>
      <c r="B7" s="36">
        <v>383</v>
      </c>
      <c r="C7" s="39">
        <v>61087581</v>
      </c>
      <c r="D7" s="88">
        <v>6.2696867960772584</v>
      </c>
      <c r="E7" s="88">
        <v>0.56719593181472483</v>
      </c>
      <c r="G7" s="131"/>
      <c r="J7" s="45">
        <v>2009</v>
      </c>
      <c r="K7" s="36">
        <v>217</v>
      </c>
      <c r="L7" s="36">
        <v>20244518</v>
      </c>
      <c r="M7" s="88">
        <v>10.718951174831627</v>
      </c>
      <c r="N7" s="88">
        <v>0.96970481898538619</v>
      </c>
      <c r="P7" s="130"/>
    </row>
    <row r="8" spans="1:16" x14ac:dyDescent="0.25">
      <c r="A8" s="45">
        <v>2010</v>
      </c>
      <c r="B8" s="36">
        <v>357</v>
      </c>
      <c r="C8" s="39">
        <v>61200646</v>
      </c>
      <c r="D8" s="88">
        <v>5.8332717599092012</v>
      </c>
      <c r="E8" s="88">
        <v>0.52378957198090081</v>
      </c>
      <c r="G8" s="131"/>
      <c r="J8" s="45">
        <v>2010</v>
      </c>
      <c r="K8" s="36">
        <v>204</v>
      </c>
      <c r="L8" s="36">
        <v>20188773</v>
      </c>
      <c r="M8" s="88">
        <v>10.104625972068733</v>
      </c>
      <c r="N8" s="88">
        <v>0.90732918519458106</v>
      </c>
      <c r="P8" s="130"/>
    </row>
    <row r="9" spans="1:16" x14ac:dyDescent="0.25">
      <c r="A9" s="45">
        <v>2011</v>
      </c>
      <c r="B9" s="36">
        <v>324</v>
      </c>
      <c r="C9" s="39">
        <v>61169649</v>
      </c>
      <c r="D9" s="88">
        <v>5.2967444688132836</v>
      </c>
      <c r="E9" s="88">
        <v>0.48350911433137028</v>
      </c>
      <c r="G9" s="131"/>
      <c r="J9" s="45">
        <v>2011</v>
      </c>
      <c r="K9" s="36">
        <v>175</v>
      </c>
      <c r="L9" s="36">
        <v>20122646</v>
      </c>
      <c r="M9" s="88">
        <v>8.6966694141515983</v>
      </c>
      <c r="N9" s="88">
        <v>0.79386856413921991</v>
      </c>
      <c r="P9" s="130"/>
    </row>
    <row r="10" spans="1:16" x14ac:dyDescent="0.25">
      <c r="A10" s="45">
        <v>2012</v>
      </c>
      <c r="B10" s="36">
        <v>274</v>
      </c>
      <c r="C10" s="39">
        <v>61114199</v>
      </c>
      <c r="D10" s="88">
        <v>4.483409821013935</v>
      </c>
      <c r="E10" s="88">
        <v>0.44747632530740622</v>
      </c>
      <c r="G10" s="131"/>
      <c r="J10" s="45">
        <v>2012</v>
      </c>
      <c r="K10" s="36">
        <v>138</v>
      </c>
      <c r="L10" s="36">
        <v>19975163</v>
      </c>
      <c r="M10" s="88">
        <v>6.9085794193519217</v>
      </c>
      <c r="N10" s="88">
        <v>0.68952557430202488</v>
      </c>
      <c r="P10" s="130"/>
    </row>
    <row r="11" spans="1:16" x14ac:dyDescent="0.25">
      <c r="A11" s="45">
        <v>2013</v>
      </c>
      <c r="B11" s="36">
        <v>321</v>
      </c>
      <c r="C11" s="39">
        <v>61069460</v>
      </c>
      <c r="D11" s="88">
        <v>5.2563097823363751</v>
      </c>
      <c r="E11" s="88">
        <v>0.47930407212912379</v>
      </c>
      <c r="G11" s="131"/>
      <c r="J11" s="45">
        <v>2013</v>
      </c>
      <c r="K11" s="36">
        <v>163</v>
      </c>
      <c r="L11" s="36">
        <v>19847941</v>
      </c>
      <c r="M11" s="88">
        <v>8.2124387612800742</v>
      </c>
      <c r="N11" s="88">
        <v>0.74886289115231186</v>
      </c>
      <c r="P11" s="130"/>
    </row>
    <row r="12" spans="1:16" x14ac:dyDescent="0.25">
      <c r="A12" s="45">
        <v>2014</v>
      </c>
      <c r="B12" s="36">
        <v>285</v>
      </c>
      <c r="C12" s="39">
        <v>61055697</v>
      </c>
      <c r="D12" s="88">
        <v>4.6678690769839219</v>
      </c>
      <c r="E12" s="88">
        <v>0.43386471169137591</v>
      </c>
      <c r="G12" s="131"/>
      <c r="J12" s="45">
        <v>2014</v>
      </c>
      <c r="K12" s="36">
        <v>148</v>
      </c>
      <c r="L12" s="36">
        <v>19870818</v>
      </c>
      <c r="M12" s="88">
        <v>7.4481080748663695</v>
      </c>
      <c r="N12" s="88">
        <v>0.69227975533454256</v>
      </c>
      <c r="P12" s="130"/>
    </row>
    <row r="13" spans="1:16" x14ac:dyDescent="0.25">
      <c r="A13" s="45">
        <v>2015</v>
      </c>
      <c r="B13" s="36">
        <v>271</v>
      </c>
      <c r="C13" s="39">
        <v>61002024</v>
      </c>
      <c r="D13" s="88">
        <v>4.4424755480244391</v>
      </c>
      <c r="E13" s="88">
        <v>0.42421523935133931</v>
      </c>
      <c r="G13" s="131"/>
      <c r="J13" s="45">
        <v>2015</v>
      </c>
      <c r="K13" s="36">
        <v>137</v>
      </c>
      <c r="L13" s="36">
        <v>19915730</v>
      </c>
      <c r="M13" s="88">
        <v>6.8789846016189209</v>
      </c>
      <c r="N13" s="88">
        <v>0.65687927096585885</v>
      </c>
      <c r="P13" s="130"/>
    </row>
    <row r="14" spans="1:16" x14ac:dyDescent="0.25">
      <c r="A14" s="45">
        <v>2016</v>
      </c>
      <c r="B14" s="36">
        <v>309</v>
      </c>
      <c r="C14" s="39">
        <v>60976283</v>
      </c>
      <c r="D14" s="88">
        <v>5.0675440482326541</v>
      </c>
      <c r="E14" s="88">
        <v>0.46625144269484115</v>
      </c>
      <c r="G14" s="131"/>
      <c r="J14" s="45">
        <v>2016</v>
      </c>
      <c r="K14" s="36">
        <v>144</v>
      </c>
      <c r="L14" s="36">
        <v>19919577</v>
      </c>
      <c r="M14" s="88">
        <v>7.2290691714989723</v>
      </c>
      <c r="N14" s="88">
        <v>0.6651277025855763</v>
      </c>
      <c r="P14" s="130"/>
    </row>
    <row r="15" spans="1:16" x14ac:dyDescent="0.25">
      <c r="A15" s="4" t="s">
        <v>3</v>
      </c>
      <c r="B15" s="4"/>
      <c r="C15" s="33"/>
      <c r="D15" s="156">
        <v>-0.42699999999999999</v>
      </c>
      <c r="E15" s="1"/>
      <c r="J15" s="4" t="s">
        <v>3</v>
      </c>
      <c r="K15" s="4"/>
      <c r="L15" s="33"/>
      <c r="M15" s="156">
        <v>-0.48599999999999999</v>
      </c>
      <c r="N15" s="1"/>
    </row>
    <row r="17" spans="1:16" x14ac:dyDescent="0.25">
      <c r="A17" s="33" t="s">
        <v>121</v>
      </c>
      <c r="J17" s="33" t="s">
        <v>122</v>
      </c>
    </row>
    <row r="18" spans="1:16" ht="60" x14ac:dyDescent="0.25">
      <c r="A18" s="37" t="s">
        <v>0</v>
      </c>
      <c r="B18" s="35" t="s">
        <v>139</v>
      </c>
      <c r="C18" s="35" t="s">
        <v>117</v>
      </c>
      <c r="D18" s="35" t="s">
        <v>118</v>
      </c>
      <c r="E18" s="76" t="s">
        <v>133</v>
      </c>
      <c r="J18" s="37" t="s">
        <v>0</v>
      </c>
      <c r="K18" s="35" t="s">
        <v>140</v>
      </c>
      <c r="L18" s="35" t="s">
        <v>117</v>
      </c>
      <c r="M18" s="35" t="s">
        <v>118</v>
      </c>
      <c r="N18" s="76" t="s">
        <v>133</v>
      </c>
    </row>
    <row r="19" spans="1:16" x14ac:dyDescent="0.25">
      <c r="A19" s="45">
        <v>2007</v>
      </c>
      <c r="B19" s="36">
        <v>155</v>
      </c>
      <c r="C19" s="157">
        <v>19714611</v>
      </c>
      <c r="D19" s="88">
        <v>7.8621891144593219</v>
      </c>
      <c r="E19" s="88">
        <v>0.59297363961212879</v>
      </c>
      <c r="G19" s="130"/>
      <c r="J19" s="45">
        <v>2007</v>
      </c>
      <c r="K19" s="36">
        <v>87</v>
      </c>
      <c r="L19" s="39">
        <v>20841042</v>
      </c>
      <c r="M19" s="88">
        <v>4.174455384716369</v>
      </c>
      <c r="N19" s="88">
        <v>0.31484132050720109</v>
      </c>
      <c r="P19" s="130"/>
    </row>
    <row r="20" spans="1:16" x14ac:dyDescent="0.25">
      <c r="A20" s="45">
        <v>2008</v>
      </c>
      <c r="B20" s="36">
        <v>116</v>
      </c>
      <c r="C20" s="157">
        <v>19929602</v>
      </c>
      <c r="D20" s="88">
        <v>5.8204875340711775</v>
      </c>
      <c r="E20" s="88">
        <v>0.48492469542171629</v>
      </c>
      <c r="G20" s="130"/>
      <c r="J20" s="45">
        <v>2008</v>
      </c>
      <c r="K20" s="36">
        <v>68</v>
      </c>
      <c r="L20" s="39">
        <v>20706655</v>
      </c>
      <c r="M20" s="88">
        <v>3.2839683666917714</v>
      </c>
      <c r="N20" s="88">
        <v>0.27359862050571043</v>
      </c>
      <c r="P20" s="130"/>
    </row>
    <row r="21" spans="1:16" x14ac:dyDescent="0.25">
      <c r="A21" s="45">
        <v>2009</v>
      </c>
      <c r="B21" s="36">
        <v>98</v>
      </c>
      <c r="C21" s="158">
        <v>20182499</v>
      </c>
      <c r="D21" s="88">
        <v>4.8556920528027776</v>
      </c>
      <c r="E21" s="88">
        <v>0.43927693169904358</v>
      </c>
      <c r="G21" s="130"/>
      <c r="J21" s="45">
        <v>2009</v>
      </c>
      <c r="K21" s="36">
        <v>68</v>
      </c>
      <c r="L21" s="36">
        <v>20660564</v>
      </c>
      <c r="M21" s="88">
        <v>3.2912944680503395</v>
      </c>
      <c r="N21" s="88">
        <v>0.29775152944648903</v>
      </c>
      <c r="P21" s="130"/>
    </row>
    <row r="22" spans="1:16" x14ac:dyDescent="0.25">
      <c r="A22" s="45">
        <v>2010</v>
      </c>
      <c r="B22" s="36">
        <v>103</v>
      </c>
      <c r="C22" s="159">
        <v>20331148</v>
      </c>
      <c r="D22" s="88">
        <v>5.0661182536273905</v>
      </c>
      <c r="E22" s="88">
        <v>0.45490421514553681</v>
      </c>
      <c r="G22" s="130"/>
      <c r="J22" s="45">
        <v>2010</v>
      </c>
      <c r="K22" s="36">
        <v>50</v>
      </c>
      <c r="L22" s="36">
        <v>20680725</v>
      </c>
      <c r="M22" s="88">
        <v>2.417710210836419</v>
      </c>
      <c r="N22" s="88">
        <v>0.21709453093054132</v>
      </c>
      <c r="P22" s="130"/>
    </row>
    <row r="23" spans="1:16" x14ac:dyDescent="0.25">
      <c r="A23" s="45">
        <v>2011</v>
      </c>
      <c r="B23" s="36">
        <v>97</v>
      </c>
      <c r="C23" s="159">
        <v>20332792</v>
      </c>
      <c r="D23" s="88">
        <v>4.7706188112286796</v>
      </c>
      <c r="E23" s="88">
        <v>0.43548215131219031</v>
      </c>
      <c r="G23" s="130"/>
      <c r="J23" s="45">
        <v>2011</v>
      </c>
      <c r="K23" s="36">
        <v>52</v>
      </c>
      <c r="L23" s="36">
        <v>20714211</v>
      </c>
      <c r="M23" s="88">
        <v>2.5103538821729683</v>
      </c>
      <c r="N23" s="88">
        <v>0.2291556614396601</v>
      </c>
      <c r="P23" s="130"/>
    </row>
    <row r="24" spans="1:16" x14ac:dyDescent="0.25">
      <c r="A24" s="45">
        <v>2012</v>
      </c>
      <c r="B24" s="36">
        <v>91</v>
      </c>
      <c r="C24" s="159">
        <v>20467414</v>
      </c>
      <c r="D24" s="88">
        <v>4.4460917241425806</v>
      </c>
      <c r="E24" s="88">
        <v>0.44375171267503194</v>
      </c>
      <c r="G24" s="130"/>
      <c r="J24" s="45">
        <v>2012</v>
      </c>
      <c r="K24" s="36">
        <v>44</v>
      </c>
      <c r="L24" s="36">
        <v>20671622</v>
      </c>
      <c r="M24" s="88">
        <v>2.1285218934440655</v>
      </c>
      <c r="N24" s="88">
        <v>0.21244168908014543</v>
      </c>
      <c r="P24" s="130"/>
    </row>
    <row r="25" spans="1:16" x14ac:dyDescent="0.25">
      <c r="A25" s="45">
        <v>2013</v>
      </c>
      <c r="B25" s="36">
        <v>102</v>
      </c>
      <c r="C25" s="159">
        <v>20567771</v>
      </c>
      <c r="D25" s="88">
        <v>4.959215074885849</v>
      </c>
      <c r="E25" s="88">
        <v>0.45221306931806932</v>
      </c>
      <c r="G25" s="130"/>
      <c r="J25" s="45">
        <v>2013</v>
      </c>
      <c r="K25" s="36">
        <v>55</v>
      </c>
      <c r="L25" s="36">
        <v>20653748</v>
      </c>
      <c r="M25" s="88">
        <v>2.6629549271154076</v>
      </c>
      <c r="N25" s="88">
        <v>0.24282532676287544</v>
      </c>
      <c r="P25" s="130"/>
    </row>
    <row r="26" spans="1:16" x14ac:dyDescent="0.25">
      <c r="A26" s="45">
        <v>2014</v>
      </c>
      <c r="B26" s="36">
        <v>78</v>
      </c>
      <c r="C26" s="159">
        <v>20515383</v>
      </c>
      <c r="D26" s="88">
        <v>3.8020250462786875</v>
      </c>
      <c r="E26" s="88">
        <v>0.35338705378020924</v>
      </c>
      <c r="G26" s="130"/>
      <c r="J26" s="45">
        <v>2014</v>
      </c>
      <c r="K26" s="36">
        <v>59</v>
      </c>
      <c r="L26" s="36">
        <v>20669496</v>
      </c>
      <c r="M26" s="88">
        <v>2.854447926548378</v>
      </c>
      <c r="N26" s="88">
        <v>0.26531254546028554</v>
      </c>
      <c r="P26" s="130"/>
    </row>
    <row r="27" spans="1:16" x14ac:dyDescent="0.25">
      <c r="A27" s="45">
        <v>2015</v>
      </c>
      <c r="B27" s="36">
        <v>83</v>
      </c>
      <c r="C27" s="160">
        <v>20475944</v>
      </c>
      <c r="D27" s="88">
        <v>4.0535371653682981</v>
      </c>
      <c r="E27" s="88">
        <v>0.38707522871813055</v>
      </c>
      <c r="G27" s="130"/>
      <c r="J27" s="45">
        <v>2015</v>
      </c>
      <c r="K27" s="36">
        <v>51</v>
      </c>
      <c r="L27" s="36">
        <v>20610350</v>
      </c>
      <c r="M27" s="88">
        <v>2.474484906855051</v>
      </c>
      <c r="N27" s="88">
        <v>0.23629037361828542</v>
      </c>
      <c r="P27" s="130"/>
    </row>
    <row r="28" spans="1:16" x14ac:dyDescent="0.25">
      <c r="A28" s="45">
        <v>2016</v>
      </c>
      <c r="B28" s="36">
        <v>98</v>
      </c>
      <c r="C28" s="160">
        <v>20429504</v>
      </c>
      <c r="D28" s="161">
        <v>4.7969838132144567</v>
      </c>
      <c r="E28" s="88">
        <v>0.44135790477737891</v>
      </c>
      <c r="G28" s="130"/>
      <c r="J28" s="45">
        <v>2016</v>
      </c>
      <c r="K28" s="36">
        <v>67</v>
      </c>
      <c r="L28" s="36">
        <v>20627202</v>
      </c>
      <c r="M28" s="88">
        <v>3.2481380654535692</v>
      </c>
      <c r="N28" s="88">
        <v>0.29885266801340049</v>
      </c>
      <c r="P28" s="130"/>
    </row>
    <row r="29" spans="1:16" x14ac:dyDescent="0.25">
      <c r="A29" s="4" t="s">
        <v>3</v>
      </c>
      <c r="B29" s="4"/>
      <c r="C29" s="33"/>
      <c r="D29" s="162">
        <v>-0.39700000000000002</v>
      </c>
      <c r="E29" s="1"/>
      <c r="J29" s="4" t="s">
        <v>3</v>
      </c>
      <c r="K29" s="4"/>
      <c r="L29" s="33"/>
      <c r="M29" s="156">
        <v>-0.25900000000000001</v>
      </c>
      <c r="N29" s="1"/>
    </row>
    <row r="30" spans="1:16" x14ac:dyDescent="0.25">
      <c r="A30" s="4"/>
      <c r="B30" s="4"/>
      <c r="C30" s="33"/>
      <c r="E30" s="1"/>
      <c r="J30" s="4"/>
      <c r="K30" s="4"/>
      <c r="L30" s="33"/>
      <c r="N30" s="1"/>
    </row>
    <row r="31" spans="1:16" s="42" customFormat="1" x14ac:dyDescent="0.25">
      <c r="A31" s="77" t="s">
        <v>229</v>
      </c>
    </row>
    <row r="32" spans="1:16" s="42" customFormat="1" x14ac:dyDescent="0.25">
      <c r="A32" s="77" t="s">
        <v>230</v>
      </c>
    </row>
    <row r="33" spans="1:1" s="42" customFormat="1" x14ac:dyDescent="0.25">
      <c r="A33" s="77" t="s">
        <v>231</v>
      </c>
    </row>
    <row r="34" spans="1:1" s="42" customFormat="1" x14ac:dyDescent="0.25">
      <c r="A34" s="77" t="s">
        <v>128</v>
      </c>
    </row>
    <row r="35" spans="1:1" s="42" customFormat="1" x14ac:dyDescent="0.25">
      <c r="A35" s="77" t="s">
        <v>129</v>
      </c>
    </row>
    <row r="36" spans="1:1" s="42" customFormat="1" x14ac:dyDescent="0.25">
      <c r="A36" s="77" t="s">
        <v>130</v>
      </c>
    </row>
    <row r="37" spans="1:1" s="42" customFormat="1" x14ac:dyDescent="0.25"/>
    <row r="38" spans="1:1" s="42" customFormat="1" x14ac:dyDescent="0.25"/>
    <row r="39" spans="1:1" s="42" customFormat="1" x14ac:dyDescent="0.25"/>
    <row r="40" spans="1:1" s="42" customFormat="1" x14ac:dyDescent="0.25"/>
  </sheetData>
  <pageMargins left="0.7" right="0.7" top="0.75" bottom="0.75" header="0.3" footer="0.3"/>
  <pageSetup paperSize="5" scale="75"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dimension ref="A1:P42"/>
  <sheetViews>
    <sheetView topLeftCell="A15" zoomScaleNormal="100" workbookViewId="0">
      <selection activeCell="N19" sqref="N19"/>
    </sheetView>
  </sheetViews>
  <sheetFormatPr defaultRowHeight="15" x14ac:dyDescent="0.25"/>
  <cols>
    <col min="2" max="2" width="11.7109375" customWidth="1"/>
    <col min="3" max="3" width="11.140625" customWidth="1"/>
    <col min="4" max="4" width="14.7109375" customWidth="1"/>
    <col min="7" max="7" width="10.140625" bestFit="1" customWidth="1"/>
    <col min="9" max="9" width="13.140625" customWidth="1"/>
    <col min="11" max="11" width="14.28515625" customWidth="1"/>
    <col min="12" max="12" width="15.140625" customWidth="1"/>
    <col min="13" max="13" width="15.85546875" customWidth="1"/>
    <col min="16" max="16" width="10.140625" bestFit="1" customWidth="1"/>
  </cols>
  <sheetData>
    <row r="1" spans="1:16" ht="18.75" x14ac:dyDescent="0.3">
      <c r="A1" s="20" t="s">
        <v>232</v>
      </c>
    </row>
    <row r="3" spans="1:16" x14ac:dyDescent="0.25">
      <c r="A3" s="33" t="s">
        <v>141</v>
      </c>
      <c r="J3" s="33" t="s">
        <v>123</v>
      </c>
    </row>
    <row r="4" spans="1:16" ht="60" x14ac:dyDescent="0.25">
      <c r="A4" s="37" t="s">
        <v>0</v>
      </c>
      <c r="B4" s="35" t="s">
        <v>142</v>
      </c>
      <c r="C4" s="35" t="s">
        <v>117</v>
      </c>
      <c r="D4" s="35" t="s">
        <v>118</v>
      </c>
      <c r="E4" s="76" t="s">
        <v>133</v>
      </c>
      <c r="J4" s="37" t="s">
        <v>0</v>
      </c>
      <c r="K4" s="35" t="s">
        <v>143</v>
      </c>
      <c r="L4" s="35" t="s">
        <v>117</v>
      </c>
      <c r="M4" s="35" t="s">
        <v>118</v>
      </c>
      <c r="N4" s="76" t="s">
        <v>133</v>
      </c>
    </row>
    <row r="5" spans="1:16" x14ac:dyDescent="0.25">
      <c r="A5" s="45">
        <v>2007</v>
      </c>
      <c r="B5" s="36">
        <v>1296</v>
      </c>
      <c r="C5" s="36">
        <v>37825711</v>
      </c>
      <c r="D5" s="88">
        <v>34.262409502362033</v>
      </c>
      <c r="E5" s="88">
        <v>2.5841028966261352</v>
      </c>
      <c r="G5" s="22"/>
      <c r="J5" s="45">
        <v>2007</v>
      </c>
      <c r="K5" s="36">
        <v>491</v>
      </c>
      <c r="L5" s="36">
        <v>19698727</v>
      </c>
      <c r="M5" s="88">
        <v>24.925468534083446</v>
      </c>
      <c r="N5" s="88">
        <v>1.8799020960346711</v>
      </c>
      <c r="P5" s="22"/>
    </row>
    <row r="6" spans="1:16" x14ac:dyDescent="0.25">
      <c r="A6" s="45">
        <v>2008</v>
      </c>
      <c r="B6" s="36">
        <v>1254</v>
      </c>
      <c r="C6" s="39">
        <v>38777621</v>
      </c>
      <c r="D6" s="88">
        <v>32.338239625375678</v>
      </c>
      <c r="E6" s="88">
        <v>2.6942091893531082</v>
      </c>
      <c r="G6" s="22"/>
      <c r="J6" s="45">
        <v>2008</v>
      </c>
      <c r="K6" s="36">
        <v>507</v>
      </c>
      <c r="L6" s="39">
        <v>20505679</v>
      </c>
      <c r="M6" s="88">
        <v>24.724857928381695</v>
      </c>
      <c r="N6" s="88">
        <v>2.0599123578707217</v>
      </c>
      <c r="P6" s="22"/>
    </row>
    <row r="7" spans="1:16" x14ac:dyDescent="0.25">
      <c r="A7" s="45">
        <v>2009</v>
      </c>
      <c r="B7" s="36">
        <v>1130</v>
      </c>
      <c r="C7" s="39">
        <v>39623175</v>
      </c>
      <c r="D7" s="88">
        <v>28.518663635612238</v>
      </c>
      <c r="E7" s="88">
        <v>2.5799805510272678</v>
      </c>
      <c r="G7" s="22"/>
      <c r="J7" s="45">
        <v>2009</v>
      </c>
      <c r="K7" s="36">
        <v>451</v>
      </c>
      <c r="L7" s="39">
        <v>21233099</v>
      </c>
      <c r="M7" s="88">
        <v>21.240422794618912</v>
      </c>
      <c r="N7" s="88">
        <v>1.9215443754974038</v>
      </c>
      <c r="P7" s="22"/>
    </row>
    <row r="8" spans="1:16" x14ac:dyDescent="0.25">
      <c r="A8" s="45">
        <v>2010</v>
      </c>
      <c r="B8" s="36">
        <v>1200</v>
      </c>
      <c r="C8" s="39">
        <v>40480893</v>
      </c>
      <c r="D8" s="88">
        <v>29.643614828358654</v>
      </c>
      <c r="E8" s="88">
        <v>2.6618023232907548</v>
      </c>
      <c r="G8" s="22"/>
      <c r="J8" s="45">
        <v>2010</v>
      </c>
      <c r="K8" s="36">
        <v>465</v>
      </c>
      <c r="L8" s="36">
        <v>21858044</v>
      </c>
      <c r="M8" s="88">
        <v>21.273632718462821</v>
      </c>
      <c r="N8" s="88">
        <v>1.9102327878267709</v>
      </c>
      <c r="P8" s="22"/>
    </row>
    <row r="9" spans="1:16" x14ac:dyDescent="0.25">
      <c r="A9" s="45">
        <v>2011</v>
      </c>
      <c r="B9" s="36">
        <v>1215</v>
      </c>
      <c r="C9" s="39">
        <v>41364200</v>
      </c>
      <c r="D9" s="88">
        <v>29.373226123072609</v>
      </c>
      <c r="E9" s="88">
        <v>2.6813116304634312</v>
      </c>
      <c r="G9" s="22"/>
      <c r="J9" s="45">
        <v>2011</v>
      </c>
      <c r="K9" s="36">
        <v>488</v>
      </c>
      <c r="L9" s="36">
        <v>22493146</v>
      </c>
      <c r="M9" s="88">
        <v>21.695497819646928</v>
      </c>
      <c r="N9" s="88">
        <v>1.980456296791282</v>
      </c>
      <c r="P9" s="22"/>
    </row>
    <row r="10" spans="1:16" x14ac:dyDescent="0.25">
      <c r="A10" s="45">
        <v>2012</v>
      </c>
      <c r="B10" s="36">
        <v>1143</v>
      </c>
      <c r="C10" s="39">
        <v>43158388</v>
      </c>
      <c r="D10" s="88">
        <v>26.483843650508913</v>
      </c>
      <c r="E10" s="88">
        <v>2.6432767714430132</v>
      </c>
      <c r="G10" s="22"/>
      <c r="J10" s="45">
        <v>2012</v>
      </c>
      <c r="K10" s="36">
        <v>489</v>
      </c>
      <c r="L10" s="36">
        <v>24005406</v>
      </c>
      <c r="M10" s="88">
        <v>20.370411564795031</v>
      </c>
      <c r="N10" s="88">
        <v>2.033112580806304</v>
      </c>
      <c r="P10" s="22"/>
    </row>
    <row r="11" spans="1:16" x14ac:dyDescent="0.25">
      <c r="A11" s="45">
        <v>2013</v>
      </c>
      <c r="B11" s="36">
        <v>1234</v>
      </c>
      <c r="C11" s="39">
        <v>44672695</v>
      </c>
      <c r="D11" s="88">
        <v>27.623137578782742</v>
      </c>
      <c r="E11" s="88">
        <v>2.5188550284813318</v>
      </c>
      <c r="G11" s="22"/>
      <c r="J11" s="45">
        <v>2013</v>
      </c>
      <c r="K11" s="36">
        <v>505</v>
      </c>
      <c r="L11" s="36">
        <v>25213327</v>
      </c>
      <c r="M11" s="88">
        <v>20.029090171241581</v>
      </c>
      <c r="N11" s="88">
        <v>1.8263810311138831</v>
      </c>
      <c r="P11" s="22"/>
    </row>
    <row r="12" spans="1:16" x14ac:dyDescent="0.25">
      <c r="A12" s="45">
        <v>2014</v>
      </c>
      <c r="B12" s="36">
        <v>1306</v>
      </c>
      <c r="C12" s="39">
        <v>46217114</v>
      </c>
      <c r="D12" s="88">
        <v>28.257930601205434</v>
      </c>
      <c r="E12" s="88">
        <v>2.6264915984337351</v>
      </c>
      <c r="G12" s="22"/>
      <c r="J12" s="45">
        <v>2014</v>
      </c>
      <c r="K12" s="36">
        <v>577</v>
      </c>
      <c r="L12" s="36">
        <v>26385080</v>
      </c>
      <c r="M12" s="88">
        <v>21.868419576518246</v>
      </c>
      <c r="N12" s="88">
        <v>2.0326053276632656</v>
      </c>
      <c r="P12" s="22"/>
    </row>
    <row r="13" spans="1:16" x14ac:dyDescent="0.25">
      <c r="A13" s="45">
        <v>2015</v>
      </c>
      <c r="B13" s="36">
        <v>1332</v>
      </c>
      <c r="C13" s="39">
        <v>47728537</v>
      </c>
      <c r="D13" s="88">
        <v>27.907832163386864</v>
      </c>
      <c r="E13" s="88">
        <v>2.6649393053458477</v>
      </c>
      <c r="G13" s="22"/>
      <c r="J13" s="45">
        <v>2015</v>
      </c>
      <c r="K13" s="36">
        <v>610</v>
      </c>
      <c r="L13" s="36">
        <v>27532120</v>
      </c>
      <c r="M13" s="88">
        <v>22.155940043846968</v>
      </c>
      <c r="N13" s="88">
        <v>2.1156869198602868</v>
      </c>
      <c r="P13" s="22"/>
    </row>
    <row r="14" spans="1:16" x14ac:dyDescent="0.25">
      <c r="A14" s="45">
        <v>2016</v>
      </c>
      <c r="B14" s="36">
        <v>1314</v>
      </c>
      <c r="C14" s="39">
        <v>49272330</v>
      </c>
      <c r="D14" s="88">
        <v>26.668111696767742</v>
      </c>
      <c r="E14" s="88">
        <v>2.453663043521368</v>
      </c>
      <c r="G14" s="22"/>
      <c r="J14" s="45">
        <v>2016</v>
      </c>
      <c r="K14" s="36">
        <v>626</v>
      </c>
      <c r="L14" s="36">
        <v>28646005</v>
      </c>
      <c r="M14" s="88">
        <v>21.852959950261827</v>
      </c>
      <c r="N14" s="88">
        <v>2.0106335548312888</v>
      </c>
      <c r="P14" s="22"/>
    </row>
    <row r="15" spans="1:16" x14ac:dyDescent="0.25">
      <c r="A15" s="4" t="s">
        <v>3</v>
      </c>
      <c r="B15" s="4"/>
      <c r="C15" s="33"/>
      <c r="D15" s="156">
        <v>-0.186</v>
      </c>
      <c r="E15" s="1"/>
      <c r="J15" s="4" t="s">
        <v>3</v>
      </c>
      <c r="K15" s="4"/>
      <c r="L15" s="33"/>
      <c r="M15" s="156">
        <v>-0.111</v>
      </c>
      <c r="N15" s="1"/>
    </row>
    <row r="17" spans="1:16" x14ac:dyDescent="0.25">
      <c r="A17" s="33" t="s">
        <v>124</v>
      </c>
      <c r="J17" s="33" t="s">
        <v>125</v>
      </c>
    </row>
    <row r="18" spans="1:16" ht="60" x14ac:dyDescent="0.25">
      <c r="A18" s="37" t="s">
        <v>0</v>
      </c>
      <c r="B18" s="35" t="s">
        <v>144</v>
      </c>
      <c r="C18" s="35" t="s">
        <v>117</v>
      </c>
      <c r="D18" s="35" t="s">
        <v>118</v>
      </c>
      <c r="E18" s="76" t="s">
        <v>133</v>
      </c>
      <c r="J18" s="37" t="s">
        <v>0</v>
      </c>
      <c r="K18" s="35" t="s">
        <v>145</v>
      </c>
      <c r="L18" s="35" t="s">
        <v>117</v>
      </c>
      <c r="M18" s="35" t="s">
        <v>118</v>
      </c>
      <c r="N18" s="76" t="s">
        <v>133</v>
      </c>
    </row>
    <row r="19" spans="1:16" x14ac:dyDescent="0.25">
      <c r="A19" s="45">
        <v>2007</v>
      </c>
      <c r="B19" s="36">
        <v>499</v>
      </c>
      <c r="C19" s="36">
        <v>13087439</v>
      </c>
      <c r="D19" s="88">
        <v>38.12816243116778</v>
      </c>
      <c r="E19" s="88">
        <v>2.8756615898429456</v>
      </c>
      <c r="G19" s="22"/>
      <c r="J19" s="45">
        <v>2007</v>
      </c>
      <c r="K19" s="36">
        <v>306</v>
      </c>
      <c r="L19" s="36">
        <v>5039545</v>
      </c>
      <c r="M19" s="88">
        <v>60.719767359950154</v>
      </c>
      <c r="N19" s="88">
        <v>4.5795415149216288</v>
      </c>
      <c r="P19" s="22"/>
    </row>
    <row r="20" spans="1:16" x14ac:dyDescent="0.25">
      <c r="A20" s="45">
        <v>2008</v>
      </c>
      <c r="B20" s="36">
        <v>469</v>
      </c>
      <c r="C20" s="39">
        <v>13076102</v>
      </c>
      <c r="D20" s="88">
        <v>35.866957905345188</v>
      </c>
      <c r="E20" s="88">
        <v>2.9881987610387593</v>
      </c>
      <c r="G20" s="22"/>
      <c r="J20" s="45">
        <v>2008</v>
      </c>
      <c r="K20" s="36">
        <v>279</v>
      </c>
      <c r="L20" s="36">
        <v>5195840</v>
      </c>
      <c r="M20" s="88">
        <v>53.696803596723527</v>
      </c>
      <c r="N20" s="88">
        <v>4.4736641006166362</v>
      </c>
      <c r="P20" s="22"/>
    </row>
    <row r="21" spans="1:16" x14ac:dyDescent="0.25">
      <c r="A21" s="45">
        <v>2009</v>
      </c>
      <c r="B21" s="36">
        <v>437</v>
      </c>
      <c r="C21" s="39">
        <v>13022775</v>
      </c>
      <c r="D21" s="88">
        <v>33.556596040398453</v>
      </c>
      <c r="E21" s="88">
        <v>3.0357441095099911</v>
      </c>
      <c r="G21" s="22"/>
      <c r="J21" s="45">
        <v>2009</v>
      </c>
      <c r="K21" s="36">
        <v>241</v>
      </c>
      <c r="L21" s="39">
        <v>5367301</v>
      </c>
      <c r="M21" s="88">
        <v>44.901524993660686</v>
      </c>
      <c r="N21" s="88">
        <v>4.0620788784243596</v>
      </c>
      <c r="P21" s="22"/>
    </row>
    <row r="22" spans="1:16" x14ac:dyDescent="0.25">
      <c r="A22" s="45">
        <v>2010</v>
      </c>
      <c r="B22" s="36">
        <v>452</v>
      </c>
      <c r="C22" s="36">
        <v>13079715</v>
      </c>
      <c r="D22" s="88">
        <v>34.557327892847816</v>
      </c>
      <c r="E22" s="88">
        <v>3.1030215513360813</v>
      </c>
      <c r="G22" s="22"/>
      <c r="J22" s="45">
        <v>2010</v>
      </c>
      <c r="K22" s="36">
        <v>282</v>
      </c>
      <c r="L22" s="39">
        <v>5543134</v>
      </c>
      <c r="M22" s="88">
        <v>50.873747594772198</v>
      </c>
      <c r="N22" s="88">
        <v>4.5681291005281217</v>
      </c>
      <c r="P22" s="22"/>
    </row>
    <row r="23" spans="1:16" x14ac:dyDescent="0.25">
      <c r="A23" s="45">
        <v>2011</v>
      </c>
      <c r="B23" s="36">
        <v>446</v>
      </c>
      <c r="C23" s="36">
        <v>13169162</v>
      </c>
      <c r="D23" s="88">
        <v>33.86699928211074</v>
      </c>
      <c r="E23" s="88">
        <v>3.0915221461727938</v>
      </c>
      <c r="G23" s="22"/>
      <c r="J23" s="45">
        <v>2011</v>
      </c>
      <c r="K23" s="36">
        <v>281</v>
      </c>
      <c r="L23" s="132">
        <v>5701892</v>
      </c>
      <c r="M23" s="88">
        <v>49.281887485767882</v>
      </c>
      <c r="N23" s="88">
        <v>4.4986579796552846</v>
      </c>
      <c r="P23" s="22"/>
    </row>
    <row r="24" spans="1:16" x14ac:dyDescent="0.25">
      <c r="A24" s="45">
        <v>2012</v>
      </c>
      <c r="B24" s="36">
        <v>415</v>
      </c>
      <c r="C24" s="36">
        <v>13274805</v>
      </c>
      <c r="D24" s="88">
        <v>31.262229464010957</v>
      </c>
      <c r="E24" s="88">
        <v>3.1201938078256859</v>
      </c>
      <c r="G24" s="22"/>
      <c r="J24" s="45">
        <v>2012</v>
      </c>
      <c r="K24" s="36">
        <v>239</v>
      </c>
      <c r="L24" s="132">
        <v>5878177</v>
      </c>
      <c r="M24" s="88">
        <v>40.65886413423754</v>
      </c>
      <c r="N24" s="88">
        <v>4.0580450684401441</v>
      </c>
      <c r="P24" s="22"/>
    </row>
    <row r="25" spans="1:16" x14ac:dyDescent="0.25">
      <c r="A25" s="45">
        <v>2013</v>
      </c>
      <c r="B25" s="36">
        <v>492</v>
      </c>
      <c r="C25" s="36">
        <v>13445158</v>
      </c>
      <c r="D25" s="88">
        <v>36.593099166257474</v>
      </c>
      <c r="E25" s="88">
        <v>3.336793714318727</v>
      </c>
      <c r="G25" s="22"/>
      <c r="J25" s="45">
        <v>2013</v>
      </c>
      <c r="K25" s="36">
        <v>237</v>
      </c>
      <c r="L25" s="132">
        <v>6014210</v>
      </c>
      <c r="M25" s="88">
        <v>39.406671865465292</v>
      </c>
      <c r="N25" s="88">
        <v>3.5933533365261945</v>
      </c>
      <c r="P25" s="22"/>
    </row>
    <row r="26" spans="1:16" x14ac:dyDescent="0.25">
      <c r="A26" s="45">
        <v>2014</v>
      </c>
      <c r="B26" s="36">
        <v>456</v>
      </c>
      <c r="C26" s="36">
        <v>13677631</v>
      </c>
      <c r="D26" s="88">
        <v>33.339106750284465</v>
      </c>
      <c r="E26" s="88">
        <v>3.0987719877538451</v>
      </c>
      <c r="G26" s="22"/>
      <c r="J26" s="45">
        <v>2014</v>
      </c>
      <c r="K26" s="36">
        <v>273</v>
      </c>
      <c r="L26" s="132">
        <v>6154403</v>
      </c>
      <c r="M26" s="88">
        <v>44.358486111487991</v>
      </c>
      <c r="N26" s="88">
        <v>4.1229909130746023</v>
      </c>
      <c r="P26" s="22"/>
    </row>
    <row r="27" spans="1:16" x14ac:dyDescent="0.25">
      <c r="A27" s="45">
        <v>2015</v>
      </c>
      <c r="B27" s="36">
        <v>474</v>
      </c>
      <c r="C27" s="36">
        <v>13917833</v>
      </c>
      <c r="D27" s="88">
        <v>34.057025975236236</v>
      </c>
      <c r="E27" s="88">
        <v>3.2521303200204223</v>
      </c>
      <c r="G27" s="22"/>
      <c r="J27" s="45">
        <v>2015</v>
      </c>
      <c r="K27" s="36">
        <v>248</v>
      </c>
      <c r="L27" s="132">
        <v>6278584</v>
      </c>
      <c r="M27" s="88">
        <v>39.499352083208571</v>
      </c>
      <c r="N27" s="88">
        <v>3.7718220206417592</v>
      </c>
      <c r="P27" s="22"/>
    </row>
    <row r="28" spans="1:16" x14ac:dyDescent="0.25">
      <c r="A28" s="45">
        <v>2016</v>
      </c>
      <c r="B28" s="36">
        <v>449</v>
      </c>
      <c r="C28" s="36">
        <v>14244448</v>
      </c>
      <c r="D28" s="88">
        <v>31.521052974464155</v>
      </c>
      <c r="E28" s="88">
        <v>2.9001694479064328</v>
      </c>
      <c r="G28" s="22"/>
      <c r="J28" s="45">
        <v>2016</v>
      </c>
      <c r="K28" s="36">
        <v>238</v>
      </c>
      <c r="L28" s="132">
        <v>6381877</v>
      </c>
      <c r="M28" s="88">
        <v>37.293103580655036</v>
      </c>
      <c r="N28" s="88">
        <v>3.4312406920493856</v>
      </c>
      <c r="P28" s="22"/>
    </row>
    <row r="29" spans="1:16" x14ac:dyDescent="0.25">
      <c r="A29" s="4" t="s">
        <v>3</v>
      </c>
      <c r="B29" s="4"/>
      <c r="C29" s="33"/>
      <c r="D29" s="156">
        <v>-0.105</v>
      </c>
      <c r="E29" s="1"/>
      <c r="J29" s="4" t="s">
        <v>3</v>
      </c>
      <c r="K29" s="4"/>
      <c r="L29" s="33"/>
      <c r="M29" s="156">
        <v>-0.34799999999999998</v>
      </c>
      <c r="N29" s="1"/>
    </row>
    <row r="31" spans="1:16" s="42" customFormat="1" x14ac:dyDescent="0.25">
      <c r="A31" s="77" t="s">
        <v>233</v>
      </c>
    </row>
    <row r="32" spans="1:16" s="42" customFormat="1" x14ac:dyDescent="0.25">
      <c r="A32" s="77" t="s">
        <v>234</v>
      </c>
    </row>
    <row r="33" spans="1:13" s="42" customFormat="1" x14ac:dyDescent="0.25">
      <c r="A33" s="77" t="s">
        <v>235</v>
      </c>
    </row>
    <row r="34" spans="1:13" s="42" customFormat="1" x14ac:dyDescent="0.25">
      <c r="A34" s="77" t="s">
        <v>128</v>
      </c>
    </row>
    <row r="35" spans="1:13" s="42" customFormat="1" x14ac:dyDescent="0.25">
      <c r="A35" s="77" t="s">
        <v>131</v>
      </c>
    </row>
    <row r="36" spans="1:13" x14ac:dyDescent="0.25">
      <c r="A36" s="77" t="s">
        <v>132</v>
      </c>
      <c r="B36" s="42"/>
      <c r="C36" s="42"/>
      <c r="D36" s="42"/>
      <c r="E36" s="42"/>
      <c r="F36" s="42"/>
      <c r="G36" s="42"/>
      <c r="H36" s="42"/>
      <c r="I36" s="42"/>
      <c r="J36" s="42"/>
      <c r="K36" s="42"/>
      <c r="L36" s="42"/>
      <c r="M36" s="42"/>
    </row>
    <row r="37" spans="1:13" x14ac:dyDescent="0.25">
      <c r="A37" s="42"/>
      <c r="B37" s="42"/>
      <c r="C37" s="42"/>
      <c r="D37" s="42"/>
      <c r="E37" s="42"/>
      <c r="F37" s="42"/>
      <c r="G37" s="42"/>
      <c r="H37" s="42"/>
      <c r="I37" s="42"/>
      <c r="J37" s="42"/>
      <c r="K37" s="42"/>
      <c r="L37" s="42"/>
      <c r="M37" s="42"/>
    </row>
    <row r="38" spans="1:13" x14ac:dyDescent="0.25">
      <c r="A38" s="42"/>
      <c r="B38" s="42"/>
      <c r="C38" s="42"/>
      <c r="D38" s="42"/>
      <c r="E38" s="42"/>
      <c r="F38" s="42"/>
      <c r="G38" s="42"/>
      <c r="H38" s="42"/>
      <c r="I38" s="42"/>
      <c r="J38" s="42"/>
      <c r="K38" s="42"/>
      <c r="L38" s="42"/>
      <c r="M38" s="42"/>
    </row>
    <row r="39" spans="1:13" x14ac:dyDescent="0.25">
      <c r="A39" s="42"/>
      <c r="B39" s="42"/>
      <c r="C39" s="42"/>
      <c r="D39" s="42"/>
      <c r="E39" s="42"/>
      <c r="F39" s="42"/>
      <c r="G39" s="42"/>
      <c r="H39" s="42"/>
      <c r="I39" s="42"/>
      <c r="J39" s="42"/>
      <c r="K39" s="42"/>
      <c r="L39" s="42"/>
      <c r="M39" s="42"/>
    </row>
    <row r="40" spans="1:13" x14ac:dyDescent="0.25">
      <c r="A40" s="42"/>
      <c r="B40" s="42"/>
      <c r="C40" s="42"/>
      <c r="D40" s="42"/>
      <c r="E40" s="42"/>
      <c r="F40" s="42"/>
      <c r="G40" s="42"/>
      <c r="H40" s="42"/>
      <c r="I40" s="42"/>
      <c r="J40" s="42"/>
      <c r="K40" s="42"/>
      <c r="L40" s="42"/>
      <c r="M40" s="42"/>
    </row>
    <row r="41" spans="1:13" x14ac:dyDescent="0.25">
      <c r="A41" s="42"/>
      <c r="B41" s="42"/>
      <c r="C41" s="42"/>
      <c r="D41" s="42"/>
      <c r="E41" s="42"/>
      <c r="F41" s="42"/>
      <c r="G41" s="42"/>
      <c r="H41" s="42"/>
      <c r="I41" s="42"/>
      <c r="J41" s="42"/>
      <c r="K41" s="42"/>
      <c r="L41" s="42"/>
      <c r="M41" s="42"/>
    </row>
    <row r="42" spans="1:13" x14ac:dyDescent="0.25">
      <c r="A42" s="42"/>
      <c r="B42" s="42"/>
      <c r="C42" s="42"/>
      <c r="D42" s="42"/>
      <c r="E42" s="42"/>
      <c r="F42" s="42"/>
      <c r="G42" s="42"/>
      <c r="H42" s="42"/>
      <c r="I42" s="42"/>
      <c r="J42" s="42"/>
      <c r="K42" s="42"/>
      <c r="L42" s="42"/>
      <c r="M42" s="42"/>
    </row>
  </sheetData>
  <pageMargins left="0.7" right="0.7" top="0.75" bottom="0.75" header="0.3" footer="0.3"/>
  <pageSetup paperSize="5" scale="75"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dimension ref="A1:L26"/>
  <sheetViews>
    <sheetView workbookViewId="0">
      <selection activeCell="J26" sqref="J26"/>
    </sheetView>
  </sheetViews>
  <sheetFormatPr defaultRowHeight="15" x14ac:dyDescent="0.25"/>
  <cols>
    <col min="1" max="1" width="12.140625" customWidth="1"/>
    <col min="4" max="4" width="15.140625" customWidth="1"/>
    <col min="5" max="5" width="1.7109375" customWidth="1"/>
    <col min="6" max="6" width="16" customWidth="1"/>
    <col min="7" max="7" width="12.5703125" customWidth="1"/>
    <col min="9" max="9" width="2.28515625" customWidth="1"/>
    <col min="10" max="10" width="32.7109375" customWidth="1"/>
    <col min="11" max="11" width="19.5703125" customWidth="1"/>
    <col min="12" max="12" width="13.7109375" customWidth="1"/>
  </cols>
  <sheetData>
    <row r="1" spans="1:12" x14ac:dyDescent="0.25">
      <c r="D1" s="149"/>
    </row>
    <row r="2" spans="1:12" ht="15.75" x14ac:dyDescent="0.25">
      <c r="A2" s="8" t="s">
        <v>238</v>
      </c>
      <c r="F2" s="8" t="s">
        <v>241</v>
      </c>
      <c r="K2" s="8" t="s">
        <v>242</v>
      </c>
    </row>
    <row r="3" spans="1:12" ht="60" x14ac:dyDescent="0.25">
      <c r="A3" s="6" t="s">
        <v>25</v>
      </c>
      <c r="B3" s="6" t="s">
        <v>90</v>
      </c>
      <c r="F3" s="6" t="s">
        <v>25</v>
      </c>
      <c r="G3" s="6" t="s">
        <v>91</v>
      </c>
      <c r="K3" s="6" t="s">
        <v>25</v>
      </c>
      <c r="L3" s="6" t="s">
        <v>134</v>
      </c>
    </row>
    <row r="4" spans="1:12" x14ac:dyDescent="0.25">
      <c r="A4" s="17" t="s">
        <v>22</v>
      </c>
      <c r="B4" s="21">
        <v>4.9994186722474137</v>
      </c>
      <c r="C4" s="22"/>
      <c r="F4" s="17" t="s">
        <v>22</v>
      </c>
      <c r="G4" s="21">
        <v>36.768593805192054</v>
      </c>
      <c r="H4" s="4"/>
      <c r="I4" s="4"/>
      <c r="J4" s="4"/>
      <c r="K4" s="17" t="s">
        <v>22</v>
      </c>
      <c r="L4" s="21">
        <v>0.81168474117428968</v>
      </c>
    </row>
    <row r="5" spans="1:12" x14ac:dyDescent="0.25">
      <c r="A5" s="18" t="s">
        <v>23</v>
      </c>
      <c r="B5" s="21">
        <v>2.104406464364609</v>
      </c>
      <c r="C5" s="22"/>
      <c r="F5" s="18" t="s">
        <v>23</v>
      </c>
      <c r="G5" s="21">
        <v>15.090701518226542</v>
      </c>
      <c r="H5" s="4"/>
      <c r="I5" s="4"/>
      <c r="J5" s="4"/>
      <c r="K5" s="18" t="s">
        <v>23</v>
      </c>
      <c r="L5" s="21">
        <v>0.33313463715412794</v>
      </c>
    </row>
    <row r="6" spans="1:12" x14ac:dyDescent="0.25">
      <c r="A6" s="18" t="s">
        <v>24</v>
      </c>
      <c r="B6" s="21">
        <v>2.9182653179862807</v>
      </c>
      <c r="C6" s="22"/>
      <c r="F6" s="18" t="s">
        <v>24</v>
      </c>
      <c r="G6" s="21">
        <v>20.726314169269788</v>
      </c>
      <c r="H6" s="4"/>
      <c r="I6" s="4"/>
      <c r="J6" s="4"/>
      <c r="K6" s="18" t="s">
        <v>24</v>
      </c>
      <c r="L6" s="21">
        <v>0.45754355037654904</v>
      </c>
    </row>
    <row r="7" spans="1:12" x14ac:dyDescent="0.25">
      <c r="A7" s="19" t="s">
        <v>8</v>
      </c>
      <c r="B7" s="21">
        <v>4.8715265666782939</v>
      </c>
      <c r="C7" s="22"/>
      <c r="F7" s="19" t="s">
        <v>8</v>
      </c>
      <c r="G7" s="21">
        <v>33.741463065413122</v>
      </c>
      <c r="H7" s="4"/>
      <c r="I7" s="4"/>
      <c r="J7" s="4"/>
      <c r="K7" s="19" t="s">
        <v>8</v>
      </c>
      <c r="L7" s="21">
        <v>0.74485934545651167</v>
      </c>
    </row>
    <row r="8" spans="1:12" x14ac:dyDescent="0.25">
      <c r="A8" s="19" t="s">
        <v>9</v>
      </c>
      <c r="B8" s="21">
        <v>7.6386466689919779</v>
      </c>
      <c r="C8" s="22"/>
      <c r="F8" s="19" t="s">
        <v>9</v>
      </c>
      <c r="G8" s="21">
        <v>49.99379409792715</v>
      </c>
      <c r="H8" s="4"/>
      <c r="I8" s="4"/>
      <c r="J8" s="4"/>
      <c r="K8" s="19" t="s">
        <v>9</v>
      </c>
      <c r="L8" s="21">
        <v>1.1036375238523966</v>
      </c>
    </row>
    <row r="9" spans="1:12" x14ac:dyDescent="0.25">
      <c r="A9" s="19" t="s">
        <v>10</v>
      </c>
      <c r="B9" s="21">
        <v>8.2897337518893153</v>
      </c>
      <c r="C9" s="22"/>
      <c r="F9" s="19" t="s">
        <v>10</v>
      </c>
      <c r="G9" s="21">
        <v>52.959893934725081</v>
      </c>
      <c r="H9" s="4"/>
      <c r="I9" s="4"/>
      <c r="J9" s="4"/>
      <c r="K9" s="19" t="s">
        <v>10</v>
      </c>
      <c r="L9" s="21">
        <v>1.1691156324546479</v>
      </c>
    </row>
    <row r="10" spans="1:12" x14ac:dyDescent="0.25">
      <c r="A10" s="19" t="s">
        <v>11</v>
      </c>
      <c r="B10" s="21">
        <v>8.7896756191140568</v>
      </c>
      <c r="C10" s="22"/>
      <c r="F10" s="19" t="s">
        <v>11</v>
      </c>
      <c r="G10" s="21">
        <v>58.956002891569362</v>
      </c>
      <c r="H10" s="4"/>
      <c r="I10" s="4"/>
      <c r="J10" s="4"/>
      <c r="K10" s="19" t="s">
        <v>11</v>
      </c>
      <c r="L10" s="21">
        <v>1.301482678430764</v>
      </c>
    </row>
    <row r="11" spans="1:12" x14ac:dyDescent="0.25">
      <c r="A11" s="19" t="s">
        <v>12</v>
      </c>
      <c r="B11" s="21">
        <v>7.7084059993024061</v>
      </c>
      <c r="C11" s="22"/>
      <c r="F11" s="19" t="s">
        <v>12</v>
      </c>
      <c r="G11" s="21">
        <v>54.242077090039075</v>
      </c>
      <c r="H11" s="4"/>
      <c r="I11" s="4"/>
      <c r="J11" s="4"/>
      <c r="K11" s="19" t="s">
        <v>12</v>
      </c>
      <c r="L11" s="21">
        <v>1.1974204544468372</v>
      </c>
    </row>
    <row r="12" spans="1:12" x14ac:dyDescent="0.25">
      <c r="A12" s="19" t="s">
        <v>13</v>
      </c>
      <c r="B12" s="21">
        <v>7.3596093477502622</v>
      </c>
      <c r="C12" s="22"/>
      <c r="F12" s="19" t="s">
        <v>13</v>
      </c>
      <c r="G12" s="21">
        <v>54.640102840044221</v>
      </c>
      <c r="H12" s="4"/>
      <c r="I12" s="4"/>
      <c r="J12" s="4"/>
      <c r="K12" s="19" t="s">
        <v>13</v>
      </c>
      <c r="L12" s="21">
        <v>1.2062070680874168</v>
      </c>
    </row>
    <row r="13" spans="1:12" x14ac:dyDescent="0.25">
      <c r="A13" s="19" t="s">
        <v>14</v>
      </c>
      <c r="B13" s="21">
        <v>7.6618997790954548</v>
      </c>
      <c r="C13" s="22"/>
      <c r="F13" s="19" t="s">
        <v>14</v>
      </c>
      <c r="G13" s="21">
        <v>53.53337995300204</v>
      </c>
      <c r="H13" s="4"/>
      <c r="I13" s="4"/>
      <c r="J13" s="4"/>
      <c r="K13" s="19" t="s">
        <v>14</v>
      </c>
      <c r="L13" s="21">
        <v>1.1817756175707086</v>
      </c>
    </row>
    <row r="14" spans="1:12" x14ac:dyDescent="0.25">
      <c r="A14" s="19" t="s">
        <v>15</v>
      </c>
      <c r="B14" s="21">
        <v>8.2664806417858401</v>
      </c>
      <c r="C14" s="22"/>
      <c r="F14" s="19" t="s">
        <v>15</v>
      </c>
      <c r="G14" s="21">
        <v>55.421520213695196</v>
      </c>
      <c r="H14" s="4"/>
      <c r="I14" s="4"/>
      <c r="J14" s="4"/>
      <c r="K14" s="19" t="s">
        <v>15</v>
      </c>
      <c r="L14" s="21">
        <v>1.2234572398519792</v>
      </c>
    </row>
    <row r="15" spans="1:12" x14ac:dyDescent="0.25">
      <c r="A15" s="19" t="s">
        <v>16</v>
      </c>
      <c r="B15" s="21">
        <v>7.6967794442506694</v>
      </c>
      <c r="C15" s="22"/>
      <c r="F15" s="19" t="s">
        <v>16</v>
      </c>
      <c r="G15" s="21">
        <v>51.283125741630968</v>
      </c>
      <c r="H15" s="4"/>
      <c r="I15" s="4"/>
      <c r="J15" s="4"/>
      <c r="K15" s="19" t="s">
        <v>16</v>
      </c>
      <c r="L15" s="21">
        <v>1.1321001522317222</v>
      </c>
    </row>
    <row r="16" spans="1:12" x14ac:dyDescent="0.25">
      <c r="A16" s="19" t="s">
        <v>17</v>
      </c>
      <c r="B16" s="21">
        <v>6.5341239390768511</v>
      </c>
      <c r="C16" s="130"/>
      <c r="F16" s="19" t="s">
        <v>17</v>
      </c>
      <c r="G16" s="21">
        <v>49.112649822561124</v>
      </c>
      <c r="H16" s="4"/>
      <c r="I16" s="4"/>
      <c r="J16" s="4"/>
      <c r="K16" s="19" t="s">
        <v>17</v>
      </c>
      <c r="L16" s="21">
        <v>1.0841858318220452</v>
      </c>
    </row>
    <row r="17" spans="1:12" x14ac:dyDescent="0.25">
      <c r="A17" s="19" t="s">
        <v>18</v>
      </c>
      <c r="B17" s="21">
        <v>5.5226136495756304</v>
      </c>
      <c r="C17" s="22"/>
      <c r="F17" s="19" t="s">
        <v>18</v>
      </c>
      <c r="G17" s="21">
        <v>48.073938723317831</v>
      </c>
      <c r="H17" s="4"/>
      <c r="I17" s="4"/>
      <c r="J17" s="4"/>
      <c r="K17" s="19" t="s">
        <v>18</v>
      </c>
      <c r="L17" s="21">
        <v>1.0612557748769493</v>
      </c>
    </row>
    <row r="18" spans="1:12" x14ac:dyDescent="0.25">
      <c r="A18" s="19" t="s">
        <v>19</v>
      </c>
      <c r="B18" s="21">
        <v>3.6158586210905708</v>
      </c>
      <c r="C18" s="22"/>
      <c r="F18" s="19" t="s">
        <v>19</v>
      </c>
      <c r="G18" s="21">
        <v>44.829301383339825</v>
      </c>
      <c r="H18" s="4"/>
      <c r="I18" s="4"/>
      <c r="J18" s="4"/>
      <c r="K18" s="19" t="s">
        <v>19</v>
      </c>
      <c r="L18" s="21">
        <v>0.98962881428503813</v>
      </c>
    </row>
    <row r="19" spans="1:12" x14ac:dyDescent="0.25">
      <c r="A19" s="19" t="s">
        <v>20</v>
      </c>
      <c r="B19" s="21">
        <v>2.3485641204511105</v>
      </c>
      <c r="C19" s="22"/>
      <c r="F19" s="19" t="s">
        <v>20</v>
      </c>
      <c r="G19" s="21">
        <v>41.083547357037631</v>
      </c>
      <c r="H19" s="4"/>
      <c r="I19" s="4"/>
      <c r="J19" s="4"/>
      <c r="K19" s="19" t="s">
        <v>20</v>
      </c>
      <c r="L19" s="21">
        <v>0.90693945707300572</v>
      </c>
    </row>
    <row r="20" spans="1:12" x14ac:dyDescent="0.25">
      <c r="A20" s="19" t="s">
        <v>21</v>
      </c>
      <c r="B20" s="21">
        <v>1.7323567027089875</v>
      </c>
      <c r="C20" s="22"/>
      <c r="F20" s="19" t="s">
        <v>21</v>
      </c>
      <c r="G20" s="21">
        <v>43.237398778243879</v>
      </c>
      <c r="H20" s="4"/>
      <c r="I20" s="4"/>
      <c r="J20" s="4"/>
      <c r="K20" s="19" t="s">
        <v>21</v>
      </c>
      <c r="L20" s="21">
        <v>0.95448678353896377</v>
      </c>
    </row>
    <row r="21" spans="1:12" x14ac:dyDescent="0.25">
      <c r="A21" s="19" t="s">
        <v>29</v>
      </c>
      <c r="B21" s="21">
        <v>1.9416346936402744</v>
      </c>
      <c r="C21" s="22"/>
      <c r="F21" s="19" t="s">
        <v>29</v>
      </c>
      <c r="G21" s="21">
        <v>44.571445456924373</v>
      </c>
      <c r="H21" s="4"/>
      <c r="I21" s="4"/>
      <c r="J21" s="4"/>
      <c r="K21" s="19" t="s">
        <v>29</v>
      </c>
      <c r="L21" s="21">
        <v>0.98393651824560602</v>
      </c>
    </row>
    <row r="22" spans="1:12" x14ac:dyDescent="0.25">
      <c r="A22" s="19" t="s">
        <v>160</v>
      </c>
      <c r="B22" s="10">
        <f>SUM(B4:B21)</f>
        <v>99.999999999999986</v>
      </c>
      <c r="F22" s="40"/>
      <c r="G22" s="11"/>
      <c r="K22" s="40"/>
      <c r="L22" s="11"/>
    </row>
    <row r="23" spans="1:12" x14ac:dyDescent="0.25">
      <c r="A23" s="143" t="s">
        <v>239</v>
      </c>
      <c r="B23" s="12"/>
      <c r="G23" s="11"/>
      <c r="K23" s="40"/>
      <c r="L23" s="11"/>
    </row>
    <row r="24" spans="1:12" x14ac:dyDescent="0.25">
      <c r="A24" s="142"/>
      <c r="B24" s="12"/>
      <c r="G24" s="11"/>
      <c r="K24" s="40"/>
      <c r="L24" s="11"/>
    </row>
    <row r="25" spans="1:12" x14ac:dyDescent="0.25">
      <c r="A25" s="15" t="s">
        <v>174</v>
      </c>
      <c r="F25" s="15" t="s">
        <v>173</v>
      </c>
      <c r="K25" s="15" t="s">
        <v>173</v>
      </c>
    </row>
    <row r="26" spans="1:12" ht="145.5" customHeight="1" x14ac:dyDescent="0.25">
      <c r="A26" s="3" t="s">
        <v>177</v>
      </c>
      <c r="F26" s="3" t="s">
        <v>240</v>
      </c>
      <c r="K26" s="3" t="s">
        <v>165</v>
      </c>
    </row>
  </sheetData>
  <pageMargins left="0.7" right="0.7" top="0.75" bottom="0.75" header="0.3" footer="0.3"/>
  <pageSetup paperSize="5" scale="80"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dimension ref="A2:H30"/>
  <sheetViews>
    <sheetView workbookViewId="0">
      <selection activeCell="K9" sqref="K9"/>
    </sheetView>
  </sheetViews>
  <sheetFormatPr defaultRowHeight="15" x14ac:dyDescent="0.25"/>
  <cols>
    <col min="1" max="1" width="13.42578125" customWidth="1"/>
    <col min="2" max="2" width="8.85546875" customWidth="1"/>
    <col min="3" max="3" width="9.42578125" customWidth="1"/>
    <col min="5" max="5" width="4.140625" customWidth="1"/>
    <col min="6" max="6" width="12.140625" customWidth="1"/>
    <col min="7" max="7" width="13.28515625" customWidth="1"/>
    <col min="8" max="8" width="13.85546875" customWidth="1"/>
    <col min="9" max="9" width="5.5703125" customWidth="1"/>
    <col min="10" max="10" width="3.5703125" customWidth="1"/>
  </cols>
  <sheetData>
    <row r="2" spans="1:8" ht="15.75" x14ac:dyDescent="0.25">
      <c r="A2" s="8" t="s">
        <v>243</v>
      </c>
    </row>
    <row r="3" spans="1:8" ht="36" customHeight="1" x14ac:dyDescent="0.25">
      <c r="A3" s="32" t="s">
        <v>5</v>
      </c>
      <c r="B3" s="32" t="s">
        <v>7</v>
      </c>
      <c r="C3" s="32" t="s">
        <v>6</v>
      </c>
      <c r="D3" s="32" t="s">
        <v>164</v>
      </c>
    </row>
    <row r="4" spans="1:8" x14ac:dyDescent="0.25">
      <c r="A4" s="14" t="s">
        <v>2</v>
      </c>
      <c r="B4" s="21">
        <v>59.4</v>
      </c>
      <c r="C4" s="21">
        <v>40.6</v>
      </c>
      <c r="D4" s="10">
        <v>100</v>
      </c>
    </row>
    <row r="5" spans="1:8" x14ac:dyDescent="0.25">
      <c r="A5" s="15" t="s">
        <v>174</v>
      </c>
    </row>
    <row r="6" spans="1:8" x14ac:dyDescent="0.25">
      <c r="A6" s="15" t="s">
        <v>239</v>
      </c>
    </row>
    <row r="8" spans="1:8" ht="15.75" x14ac:dyDescent="0.25">
      <c r="A8" s="8" t="s">
        <v>244</v>
      </c>
      <c r="F8" s="8" t="s">
        <v>245</v>
      </c>
    </row>
    <row r="9" spans="1:8" ht="60" x14ac:dyDescent="0.25">
      <c r="A9" s="6" t="s">
        <v>25</v>
      </c>
      <c r="B9" s="6" t="s">
        <v>86</v>
      </c>
      <c r="C9" s="6" t="s">
        <v>87</v>
      </c>
      <c r="D9" s="4"/>
      <c r="E9" s="4"/>
      <c r="F9" s="6" t="s">
        <v>25</v>
      </c>
      <c r="G9" s="6" t="s">
        <v>88</v>
      </c>
      <c r="H9" s="6" t="s">
        <v>89</v>
      </c>
    </row>
    <row r="10" spans="1:8" x14ac:dyDescent="0.25">
      <c r="A10" s="17" t="s">
        <v>22</v>
      </c>
      <c r="B10" s="21">
        <v>5.2301665034280118</v>
      </c>
      <c r="C10" s="21">
        <v>4.6624713958810071</v>
      </c>
      <c r="D10" s="4"/>
      <c r="E10" s="4"/>
      <c r="F10" s="17" t="s">
        <v>22</v>
      </c>
      <c r="G10" s="21">
        <v>44.658993599978913</v>
      </c>
      <c r="H10" s="21">
        <v>28.513796556064364</v>
      </c>
    </row>
    <row r="11" spans="1:8" x14ac:dyDescent="0.25">
      <c r="A11" s="18" t="s">
        <v>23</v>
      </c>
      <c r="B11" s="21">
        <v>2.095984329089128</v>
      </c>
      <c r="C11" s="21">
        <v>2.1167048054919908</v>
      </c>
      <c r="D11" s="4"/>
      <c r="E11" s="4"/>
      <c r="F11" s="18" t="s">
        <v>23</v>
      </c>
      <c r="G11" s="21">
        <v>17.474641481620374</v>
      </c>
      <c r="H11" s="21">
        <v>12.60346117702152</v>
      </c>
    </row>
    <row r="12" spans="1:8" x14ac:dyDescent="0.25">
      <c r="A12" s="18" t="s">
        <v>24</v>
      </c>
      <c r="B12" s="21">
        <v>2.546523016650343</v>
      </c>
      <c r="C12" s="21">
        <v>3.4610983981693364</v>
      </c>
      <c r="D12" s="4"/>
      <c r="E12" s="4"/>
      <c r="F12" s="18" t="s">
        <v>24</v>
      </c>
      <c r="G12" s="21">
        <v>21.041588822751908</v>
      </c>
      <c r="H12" s="21">
        <v>20.396484070033825</v>
      </c>
    </row>
    <row r="13" spans="1:8" x14ac:dyDescent="0.25">
      <c r="A13" s="19" t="s">
        <v>8</v>
      </c>
      <c r="B13" s="21">
        <v>5.1126346718903033</v>
      </c>
      <c r="C13" s="21">
        <v>4.5194508009153322</v>
      </c>
      <c r="D13" s="4"/>
      <c r="E13" s="4"/>
      <c r="F13" s="19" t="s">
        <v>8</v>
      </c>
      <c r="G13" s="21">
        <v>41.120924488101053</v>
      </c>
      <c r="H13" s="21">
        <v>26.024274945469866</v>
      </c>
    </row>
    <row r="14" spans="1:8" x14ac:dyDescent="0.25">
      <c r="A14" s="19" t="s">
        <v>9</v>
      </c>
      <c r="B14" s="21">
        <v>7.3653281096963754</v>
      </c>
      <c r="C14" s="21">
        <v>8.0377574370709386</v>
      </c>
      <c r="D14" s="4"/>
      <c r="E14" s="4"/>
      <c r="F14" s="19" t="s">
        <v>9</v>
      </c>
      <c r="G14" s="21">
        <v>55.713046209687988</v>
      </c>
      <c r="H14" s="21">
        <v>43.952901378295522</v>
      </c>
    </row>
    <row r="15" spans="1:8" x14ac:dyDescent="0.25">
      <c r="A15" s="19" t="s">
        <v>10</v>
      </c>
      <c r="B15" s="21">
        <v>8.5798237022526944</v>
      </c>
      <c r="C15" s="21">
        <v>7.8661327231121279</v>
      </c>
      <c r="D15" s="4"/>
      <c r="E15" s="4"/>
      <c r="F15" s="19" t="s">
        <v>10</v>
      </c>
      <c r="G15" s="21">
        <v>63.973064972254754</v>
      </c>
      <c r="H15" s="21">
        <v>41.560437147773087</v>
      </c>
    </row>
    <row r="16" spans="1:8" x14ac:dyDescent="0.25">
      <c r="A16" s="19" t="s">
        <v>11</v>
      </c>
      <c r="B16" s="21">
        <v>9.1283055827619979</v>
      </c>
      <c r="C16" s="21">
        <v>8.2951945080091534</v>
      </c>
      <c r="D16" s="4"/>
      <c r="E16" s="4"/>
      <c r="F16" s="19" t="s">
        <v>11</v>
      </c>
      <c r="G16" s="21">
        <v>72.166455104177047</v>
      </c>
      <c r="H16" s="21">
        <v>45.552252113410482</v>
      </c>
    </row>
    <row r="17" spans="1:8" x14ac:dyDescent="0.25">
      <c r="A17" s="19" t="s">
        <v>12</v>
      </c>
      <c r="B17" s="21">
        <v>7.9333986287952989</v>
      </c>
      <c r="C17" s="21">
        <v>7.3798627002288324</v>
      </c>
      <c r="D17" s="4"/>
      <c r="E17" s="4"/>
      <c r="F17" s="19" t="s">
        <v>12</v>
      </c>
      <c r="G17" s="21">
        <v>66.334540743004496</v>
      </c>
      <c r="H17" s="21">
        <v>42.170283591629222</v>
      </c>
    </row>
    <row r="18" spans="1:8" x14ac:dyDescent="0.25">
      <c r="A18" s="19" t="s">
        <v>13</v>
      </c>
      <c r="B18" s="21">
        <v>7.6591576885406463</v>
      </c>
      <c r="C18" s="21">
        <v>6.9221967963386728</v>
      </c>
      <c r="D18" s="4"/>
      <c r="E18" s="4"/>
      <c r="F18" s="19" t="s">
        <v>13</v>
      </c>
      <c r="G18" s="21">
        <v>68.002690677082171</v>
      </c>
      <c r="H18" s="21">
        <v>41.46959350578804</v>
      </c>
    </row>
    <row r="19" spans="1:8" x14ac:dyDescent="0.25">
      <c r="A19" s="19" t="s">
        <v>14</v>
      </c>
      <c r="B19" s="21">
        <v>7.855044074436826</v>
      </c>
      <c r="C19" s="21">
        <v>7.3798627002288324</v>
      </c>
      <c r="D19" s="4"/>
      <c r="E19" s="4"/>
      <c r="F19" s="19" t="s">
        <v>14</v>
      </c>
      <c r="G19" s="21">
        <v>65.78089818497854</v>
      </c>
      <c r="H19" s="21">
        <v>41.515187114767201</v>
      </c>
    </row>
    <row r="20" spans="1:8" x14ac:dyDescent="0.25">
      <c r="A20" s="19" t="s">
        <v>15</v>
      </c>
      <c r="B20" s="21">
        <v>8.9520078354554364</v>
      </c>
      <c r="C20" s="21">
        <v>7.2654462242562934</v>
      </c>
      <c r="D20" s="4"/>
      <c r="E20" s="4"/>
      <c r="F20" s="19" t="s">
        <v>15</v>
      </c>
      <c r="G20" s="21">
        <v>72.515771414379358</v>
      </c>
      <c r="H20" s="21">
        <v>38.912719492396164</v>
      </c>
    </row>
    <row r="21" spans="1:8" x14ac:dyDescent="0.25">
      <c r="A21" s="19" t="s">
        <v>16</v>
      </c>
      <c r="B21" s="21">
        <v>8.1292850146914795</v>
      </c>
      <c r="C21" s="21">
        <v>7.0652173913043477</v>
      </c>
      <c r="D21" s="4"/>
      <c r="E21" s="4"/>
      <c r="F21" s="19" t="s">
        <v>16</v>
      </c>
      <c r="G21" s="21">
        <v>66.157381781156701</v>
      </c>
      <c r="H21" s="21">
        <v>37.218998252932593</v>
      </c>
    </row>
    <row r="22" spans="1:8" x14ac:dyDescent="0.25">
      <c r="A22" s="19" t="s">
        <v>17</v>
      </c>
      <c r="B22" s="21">
        <v>6.2487757100881485</v>
      </c>
      <c r="C22" s="21">
        <v>6.9508009153318078</v>
      </c>
      <c r="D22" s="4"/>
      <c r="E22" s="4"/>
      <c r="F22" s="19" t="s">
        <v>17</v>
      </c>
      <c r="G22" s="21">
        <v>58.330232394295912</v>
      </c>
      <c r="H22" s="21">
        <v>40.670973052681866</v>
      </c>
    </row>
    <row r="23" spans="1:8" x14ac:dyDescent="0.25">
      <c r="A23" s="19" t="s">
        <v>18</v>
      </c>
      <c r="B23" s="21">
        <v>5.2889324191968656</v>
      </c>
      <c r="C23" s="21">
        <v>5.863844393592677</v>
      </c>
      <c r="D23" s="4"/>
      <c r="E23" s="4"/>
      <c r="F23" s="19" t="s">
        <v>18</v>
      </c>
      <c r="G23" s="21">
        <v>57.92893526614197</v>
      </c>
      <c r="H23" s="21">
        <v>39.270235559130008</v>
      </c>
    </row>
    <row r="24" spans="1:8" x14ac:dyDescent="0.25">
      <c r="A24" s="19" t="s">
        <v>19</v>
      </c>
      <c r="B24" s="21">
        <v>3.4867776689520076</v>
      </c>
      <c r="C24" s="21">
        <v>3.804347826086957</v>
      </c>
      <c r="D24" s="4"/>
      <c r="E24" s="4"/>
      <c r="F24" s="19" t="s">
        <v>19</v>
      </c>
      <c r="G24" s="21">
        <v>55.57622506708752</v>
      </c>
      <c r="H24" s="21">
        <v>35.60905607005683</v>
      </c>
    </row>
    <row r="25" spans="1:8" x14ac:dyDescent="0.25">
      <c r="A25" s="19" t="s">
        <v>20</v>
      </c>
      <c r="B25" s="21">
        <v>1.8805093046033301</v>
      </c>
      <c r="C25" s="21">
        <v>3.0320366132723113</v>
      </c>
      <c r="D25" s="4"/>
      <c r="E25" s="4"/>
      <c r="F25" s="19" t="s">
        <v>20</v>
      </c>
      <c r="G25" s="21">
        <v>43.879923177274733</v>
      </c>
      <c r="H25" s="21">
        <v>38.83737051723817</v>
      </c>
    </row>
    <row r="26" spans="1:8" x14ac:dyDescent="0.25">
      <c r="A26" s="19" t="s">
        <v>21</v>
      </c>
      <c r="B26" s="21">
        <v>1.2536728697355533</v>
      </c>
      <c r="C26" s="21">
        <v>2.431350114416476</v>
      </c>
      <c r="D26" s="4"/>
      <c r="E26" s="4"/>
      <c r="F26" s="19" t="s">
        <v>21</v>
      </c>
      <c r="G26" s="21">
        <v>44.395005097439565</v>
      </c>
      <c r="H26" s="21">
        <v>42.399466798133027</v>
      </c>
    </row>
    <row r="27" spans="1:8" x14ac:dyDescent="0.25">
      <c r="A27" s="19" t="s">
        <v>29</v>
      </c>
      <c r="B27" s="21">
        <v>1.2536728697355533</v>
      </c>
      <c r="C27" s="21">
        <v>2.946224256292906</v>
      </c>
      <c r="D27" s="4"/>
      <c r="E27" s="4"/>
      <c r="F27" s="19" t="s">
        <v>29</v>
      </c>
      <c r="G27" s="21">
        <v>48.939287358812606</v>
      </c>
      <c r="H27" s="21">
        <v>42.222845534535011</v>
      </c>
    </row>
    <row r="28" spans="1:8" x14ac:dyDescent="0.25">
      <c r="A28" s="19" t="s">
        <v>4</v>
      </c>
      <c r="B28" s="21">
        <f>SUM(B10:B27)</f>
        <v>100</v>
      </c>
      <c r="C28" s="21">
        <f>SUM(C10:C27)</f>
        <v>99.999999999999986</v>
      </c>
      <c r="D28" s="4"/>
      <c r="E28" s="4"/>
      <c r="F28" s="40"/>
      <c r="G28" s="41"/>
      <c r="H28" s="41"/>
    </row>
    <row r="29" spans="1:8" x14ac:dyDescent="0.25">
      <c r="A29" s="15" t="s">
        <v>174</v>
      </c>
      <c r="F29" s="15" t="s">
        <v>173</v>
      </c>
    </row>
    <row r="30" spans="1:8" x14ac:dyDescent="0.25">
      <c r="A30" s="16" t="s">
        <v>28</v>
      </c>
      <c r="F30" s="16" t="s">
        <v>28</v>
      </c>
    </row>
  </sheetData>
  <pageMargins left="0.7" right="0.7" top="0.75" bottom="0.75" header="0.3" footer="0.3"/>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Index of Worksheets</vt:lpstr>
      <vt:lpstr>Deaths by Age 2016</vt:lpstr>
      <vt:lpstr>Deaths by Age+Gender 2016</vt:lpstr>
      <vt:lpstr>Deaths by Race+Gender 2016</vt:lpstr>
      <vt:lpstr>State Deaths, Rate, Risk 2016</vt:lpstr>
      <vt:lpstr>Ntl State Death Rate 2000-2016</vt:lpstr>
      <vt:lpstr>Death, Rate, Risk Child '07-'16</vt:lpstr>
      <vt:lpstr>Death, Rate, Risk Older '07-'16</vt:lpstr>
      <vt:lpstr>Injuries by Age 2016</vt:lpstr>
      <vt:lpstr>Injuries by Age+Gender 2016</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Fire loss in the United States: data sets (2001-2011)</dc:title>
  <dc:creator>mlawler</dc:creator>
  <cp:lastModifiedBy>Kelch, Gayle</cp:lastModifiedBy>
  <cp:lastPrinted>2018-07-16T14:20:28Z</cp:lastPrinted>
  <dcterms:created xsi:type="dcterms:W3CDTF">2014-08-27T18:33:52Z</dcterms:created>
  <dcterms:modified xsi:type="dcterms:W3CDTF">2018-07-16T15:37:09Z</dcterms:modified>
</cp:coreProperties>
</file>